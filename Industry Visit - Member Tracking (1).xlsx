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tlas Labs Detailed" sheetId="1" state="hidden" r:id="rId1"/>
    <sheet name="WSO2 Detailed" sheetId="2" state="hidden" r:id="rId2"/>
    <sheet name="Codegen Detailed" sheetId="3" state="hidden" r:id="rId3"/>
    <sheet name="Orange Detailed" sheetId="4" state="hidden" r:id="rId4"/>
    <sheet name="Rootcode Detailed" sheetId="5" state="hidden" r:id="rId5"/>
    <sheet name="IFS Detailed" sheetId="6" state="hidden" r:id="rId6"/>
    <sheet name="Zone24x7 Detailed" sheetId="7" state="visible" r:id="rId7"/>
    <sheet name="Cambio Detailed" sheetId="8" state="visible" r:id="rId8"/>
    <sheet name="All Members" sheetId="9" state="visible" r:id="rId9"/>
    <sheet name="Atlas Labs" sheetId="10" state="visible" r:id="rId10"/>
    <sheet name="WSO2" sheetId="11" state="visible" r:id="rId11"/>
    <sheet name="Codegen" sheetId="12" state="visible" r:id="rId12"/>
    <sheet name="Orange" sheetId="13" state="visible" r:id="rId13"/>
    <sheet name="Rootcode" sheetId="14" state="visible" r:id="rId14"/>
    <sheet name="IFS" sheetId="15" state="visible" r:id="rId15"/>
    <sheet name="Zone24x7" sheetId="16" state="visible" r:id="rId16"/>
    <sheet name="Cambio" sheetId="17" state="visible" r:id="rId17"/>
    <sheet name="Lion Beer" sheetId="18" state="visible" r:id="rId18"/>
  </sheets>
  <definedNames>
    <definedName name="_xlnm._FilterDatabase" localSheetId="9" hidden="1">'Atlas Labs'!$A$1:$E$25</definedName>
    <definedName name="_xlnm._FilterDatabase" localSheetId="10" hidden="1">'WSO2'!$A$1:$E$51</definedName>
    <definedName name="_xlnm._FilterDatabase" localSheetId="11" hidden="1">'Codegen'!$A$1:$E$61</definedName>
    <definedName name="_xlnm._FilterDatabase" localSheetId="12" hidden="1">'Orange'!$A$1:$E$21</definedName>
    <definedName name="_xlnm._FilterDatabase" localSheetId="13" hidden="1">'Rootcode'!$A$1:$E$27</definedName>
    <definedName name="_xlnm._FilterDatabase" localSheetId="14" hidden="1">'IFS'!$A$1:$E$66</definedName>
  </definedNames>
  <calcPr calcId="124519" fullCalcOnLoad="1"/>
</workbook>
</file>

<file path=xl/styles.xml><?xml version="1.0" encoding="utf-8"?>
<styleSheet xmlns="http://schemas.openxmlformats.org/spreadsheetml/2006/main">
  <numFmts count="0"/>
  <fonts count="35">
    <font>
      <name val="Calibri"/>
      <color rgb="FF000000"/>
      <sz val="10"/>
      <scheme val="minor"/>
    </font>
    <font>
      <name val="Arial"/>
      <b val="1"/>
      <color rgb="FFFFFFFF"/>
    </font>
    <font>
      <name val="Arial"/>
      <color theme="1"/>
    </font>
    <font>
      <name val="Calibri"/>
      <color theme="1"/>
      <scheme val="minor"/>
    </font>
    <font>
      <name val="Arial"/>
      <color rgb="FF434343"/>
    </font>
    <font>
      <name val="Aptos Narrow"/>
      <color theme="1"/>
      <sz val="11"/>
    </font>
    <font>
      <name val="Arial"/>
      <color theme="1"/>
      <sz val="11"/>
    </font>
    <font>
      <name val="Roboto"/>
      <color rgb="FF434343"/>
    </font>
    <font>
      <name val="Arial"/>
      <color rgb="FF434343"/>
      <u val="single"/>
    </font>
    <font>
      <name val="Arial"/>
      <color rgb="FF434343"/>
      <u val="single"/>
    </font>
    <font>
      <name val="Arial"/>
      <color rgb="FF000000"/>
    </font>
    <font>
      <name val="Arial"/>
      <color rgb="FFFF0000"/>
    </font>
    <font>
      <name val="&quot;Aptos Narrow&quot;"/>
      <color rgb="FF000000"/>
      <sz val="12"/>
    </font>
    <font>
      <name val="Calibri"/>
      <b val="1"/>
      <color theme="0"/>
      <sz val="11"/>
    </font>
    <font>
      <name val="Calibri"/>
      <b val="1"/>
      <color rgb="FFFFFFFF"/>
      <sz val="11"/>
    </font>
    <font>
      <name val="Calibri"/>
      <color theme="1"/>
      <sz val="11"/>
    </font>
    <font>
      <name val="Calibri"/>
      <b val="1"/>
      <color theme="1"/>
      <sz val="11"/>
    </font>
    <font>
      <name val="Arial"/>
      <b val="1"/>
      <color rgb="FFFFFFFF"/>
      <sz val="11"/>
    </font>
    <font>
      <name val="Calibri"/>
      <i val="1"/>
      <color theme="1"/>
      <scheme val="minor"/>
    </font>
    <font>
      <name val="Calibri"/>
      <b val="1"/>
      <color rgb="FF854D0E"/>
      <scheme val="minor"/>
    </font>
    <font>
      <name val="Calibri"/>
      <b val="1"/>
      <color rgb="FF334155"/>
      <scheme val="minor"/>
    </font>
    <font>
      <name val="Calibri"/>
      <b val="1"/>
      <color rgb="FF0369A1"/>
      <scheme val="minor"/>
    </font>
    <font>
      <name val="Calibri"/>
      <b val="1"/>
      <color rgb="FF0F766E"/>
      <scheme val="minor"/>
    </font>
    <font>
      <name val="Calibri"/>
      <b val="1"/>
      <color rgb="FF1E40AF"/>
      <scheme val="minor"/>
    </font>
    <font>
      <name val="Calibri"/>
      <b val="1"/>
      <color rgb="FF92400E"/>
      <scheme val="minor"/>
    </font>
    <font>
      <name val="Calibri"/>
      <b val="1"/>
      <color rgb="FF065F46"/>
      <scheme val="minor"/>
    </font>
    <font>
      <name val="Arial"/>
      <b val="1"/>
      <color theme="1"/>
      <sz val="11"/>
    </font>
    <font>
      <name val="Arial"/>
      <color theme="1"/>
      <sz val="10"/>
    </font>
    <font>
      <name val="Arial"/>
      <color theme="1"/>
      <sz val="10"/>
      <u val="single"/>
    </font>
    <font>
      <name val="Arial"/>
      <b val="1"/>
      <color theme="1"/>
      <sz val="10"/>
    </font>
    <font>
      <name val="Arial"/>
      <b val="1"/>
      <color rgb="FF006100"/>
      <sz val="10"/>
    </font>
    <font>
      <name val="&quot;Google Sans Text&quot;"/>
      <color rgb="FF000000"/>
    </font>
    <font>
      <name val="&quot;Google Sans Text&quot;"/>
      <b val="1"/>
      <color rgb="FF000000"/>
    </font>
    <font>
      <name val="Arial"/>
      <b val="1"/>
      <sz val="11"/>
    </font>
    <font>
      <name val="Arial"/>
      <sz val="10"/>
    </font>
  </fonts>
  <fills count="28">
    <fill>
      <patternFill/>
    </fill>
    <fill>
      <patternFill patternType="lightGray"/>
    </fill>
    <fill>
      <patternFill patternType="solid">
        <fgColor rgb="FF4472C4"/>
        <bgColor rgb="FF4472C4"/>
      </patternFill>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
      <patternFill patternType="solid">
        <fgColor rgb="FF5B3F86"/>
        <bgColor rgb="FF5B3F86"/>
      </patternFill>
    </fill>
    <fill>
      <patternFill patternType="solid">
        <fgColor rgb="FF2E75B5"/>
        <bgColor rgb="FF2E75B5"/>
      </patternFill>
    </fill>
    <fill>
      <patternFill patternType="solid">
        <fgColor rgb="FF1F4E78"/>
        <bgColor rgb="FF1F4E78"/>
      </patternFill>
    </fill>
    <fill>
      <patternFill patternType="solid">
        <fgColor rgb="FFD8D8D8"/>
        <bgColor rgb="FFD8D8D8"/>
      </patternFill>
    </fill>
    <fill>
      <patternFill patternType="solid">
        <fgColor rgb="FF00B0F0"/>
        <bgColor rgb="FF00B0F0"/>
      </patternFill>
    </fill>
    <fill>
      <patternFill patternType="solid">
        <fgColor rgb="FFDDEBF7"/>
        <bgColor rgb="FFDDEBF7"/>
      </patternFill>
    </fill>
    <fill>
      <patternFill patternType="solid">
        <fgColor rgb="FFFCE4D6"/>
        <bgColor rgb="FFFCE4D6"/>
      </patternFill>
    </fill>
    <fill>
      <patternFill patternType="solid">
        <fgColor rgb="FFFFF2CC"/>
        <bgColor rgb="FFFFF2CC"/>
      </patternFill>
    </fill>
    <fill>
      <patternFill patternType="solid">
        <fgColor rgb="FFEAE6F8"/>
        <bgColor rgb="FFEAE6F8"/>
      </patternFill>
    </fill>
    <fill>
      <patternFill patternType="solid">
        <fgColor rgb="FFD9E8FB"/>
        <bgColor rgb="FFD9E8FB"/>
      </patternFill>
    </fill>
    <fill>
      <patternFill patternType="solid">
        <fgColor rgb="FF9CC2E5"/>
        <bgColor rgb="FF9CC2E5"/>
      </patternFill>
    </fill>
    <fill>
      <patternFill patternType="solid">
        <fgColor rgb="FFFFC000"/>
        <bgColor rgb="FFFFC000"/>
      </patternFill>
    </fill>
    <fill>
      <patternFill patternType="solid">
        <fgColor rgb="FF92D050"/>
        <bgColor rgb="FF92D050"/>
      </patternFill>
    </fill>
    <fill>
      <patternFill patternType="solid">
        <fgColor rgb="FF0F172A"/>
        <bgColor rgb="FF0F172A"/>
      </patternFill>
    </fill>
    <fill>
      <patternFill patternType="solid">
        <fgColor rgb="FFFEF08A"/>
        <bgColor rgb="FFFEF08A"/>
      </patternFill>
    </fill>
    <fill>
      <patternFill patternType="solid">
        <fgColor rgb="FFF1F5F9"/>
        <bgColor rgb="FFF1F5F9"/>
      </patternFill>
    </fill>
    <fill>
      <patternFill patternType="solid">
        <fgColor rgb="FFE0F2FE"/>
        <bgColor rgb="FFE0F2FE"/>
      </patternFill>
    </fill>
    <fill>
      <patternFill patternType="solid">
        <fgColor rgb="FFCCFBF1"/>
        <bgColor rgb="FFCCFBF1"/>
      </patternFill>
    </fill>
    <fill>
      <patternFill patternType="solid">
        <fgColor rgb="FFDBEAFE"/>
        <bgColor rgb="FFDBEAFE"/>
      </patternFill>
    </fill>
    <fill>
      <patternFill patternType="solid">
        <fgColor rgb="FFFEF3C7"/>
        <bgColor rgb="FFFEF3C7"/>
      </patternFill>
    </fill>
    <fill>
      <patternFill patternType="solid">
        <fgColor rgb="FFD1FAE5"/>
        <bgColor rgb="FFD1FAE5"/>
      </patternFill>
    </fill>
    <fill>
      <patternFill patternType="solid">
        <fgColor rgb="FFC6EFCE"/>
        <bgColor rgb="FFC6EFCE"/>
      </patternFill>
    </fill>
  </fills>
  <borders count="9">
    <border/>
    <border>
      <left style="thin">
        <color rgb="FF000000"/>
      </left>
      <right style="thin">
        <color rgb="FF000000"/>
      </right>
      <top style="thin">
        <color rgb="FF000000"/>
      </top>
      <bottom style="thin">
        <color rgb="FF000000"/>
      </bottom>
    </border>
    <border>
      <top style="thin">
        <color rgb="FF5B3F86"/>
      </top>
    </border>
    <border>
      <bottom style="thin">
        <color rgb="FF5B3F86"/>
      </bottom>
    </border>
    <border>
      <left/>
      <right/>
      <top/>
      <bottom/>
    </border>
    <border>
      <left style="thin">
        <color rgb="FFD9D9D9"/>
      </left>
      <right style="thin">
        <color rgb="FFD9D9D9"/>
      </right>
      <top style="thin">
        <color rgb="FFD9D9D9"/>
      </top>
      <bottom style="thin">
        <color rgb="FFD9D9D9"/>
      </bottom>
    </border>
    <border>
      <left/>
      <right style="thin">
        <color rgb="FFD9D9D9"/>
      </right>
      <top style="thin">
        <color rgb="FFD9D9D9"/>
      </top>
      <bottom style="thin">
        <color rgb="FFD9D9D9"/>
      </bottom>
    </border>
    <border>
      <left style="thin">
        <color rgb="FFD9D9D9"/>
      </left>
      <right style="thin">
        <color rgb="FFD9D9D9"/>
      </right>
      <top/>
      <bottom/>
    </border>
    <border>
      <left style="thin">
        <color rgb="FFE2E8F0"/>
      </left>
      <right style="thin">
        <color rgb="FFE2E8F0"/>
      </right>
      <top style="thin">
        <color rgb="FFE2E8F0"/>
      </top>
      <bottom style="thin">
        <color rgb="FFE2E8F0"/>
      </bottom>
    </border>
  </borders>
  <cellStyleXfs count="1">
    <xf numFmtId="0" fontId="0" fillId="0" borderId="0"/>
  </cellStyleXfs>
  <cellXfs count="114">
    <xf numFmtId="0" fontId="0" fillId="0" borderId="0" applyAlignment="1" pivotButton="0" quotePrefix="0" xfId="0">
      <alignment vertical="bottom"/>
    </xf>
    <xf numFmtId="0" fontId="1" fillId="2" borderId="0" applyAlignment="1" pivotButton="0" quotePrefix="0" xfId="0">
      <alignment horizontal="center"/>
    </xf>
    <xf numFmtId="0" fontId="2" fillId="0" borderId="0" applyAlignment="1" pivotButton="0" quotePrefix="0" xfId="0">
      <alignment vertical="bottom"/>
    </xf>
    <xf numFmtId="0" fontId="3" fillId="0" borderId="0" pivotButton="0" quotePrefix="0" xfId="0"/>
    <xf numFmtId="0" fontId="3" fillId="0" borderId="0" pivotButton="0" quotePrefix="0" xfId="0"/>
    <xf numFmtId="0" fontId="2" fillId="0" borderId="0" applyAlignment="1" pivotButton="0" quotePrefix="0" xfId="0">
      <alignment horizontal="left" vertical="center"/>
    </xf>
    <xf numFmtId="1"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1" applyAlignment="1" pivotButton="0" quotePrefix="0" xfId="0">
      <alignment horizontal="right" vertical="bottom"/>
    </xf>
    <xf numFmtId="0" fontId="4" fillId="3" borderId="1" applyAlignment="1" pivotButton="0" quotePrefix="0" xfId="0">
      <alignment vertical="center"/>
    </xf>
    <xf numFmtId="1" fontId="4" fillId="3" borderId="1" applyAlignment="1" pivotButton="0" quotePrefix="0" xfId="0">
      <alignment horizontal="center" vertical="center"/>
    </xf>
    <xf numFmtId="0" fontId="4" fillId="3" borderId="1" applyAlignment="1" pivotButton="0" quotePrefix="1" xfId="0">
      <alignment horizontal="center" vertical="center"/>
    </xf>
    <xf numFmtId="0" fontId="5" fillId="0" borderId="1" applyAlignment="1" pivotButton="0" quotePrefix="0" xfId="0">
      <alignment horizontal="right" vertical="bottom"/>
    </xf>
    <xf numFmtId="0" fontId="4" fillId="4" borderId="1" applyAlignment="1" pivotButton="0" quotePrefix="0" xfId="0">
      <alignment vertical="center"/>
    </xf>
    <xf numFmtId="1" fontId="4" fillId="4" borderId="1" applyAlignment="1" pivotButton="0" quotePrefix="0" xfId="0">
      <alignment horizontal="center" vertical="center"/>
    </xf>
    <xf numFmtId="0" fontId="4" fillId="4" borderId="1" applyAlignment="1" pivotButton="0" quotePrefix="1" xfId="0">
      <alignment horizontal="center" vertical="center"/>
    </xf>
    <xf numFmtId="0" fontId="2" fillId="0" borderId="1" applyAlignment="1" pivotButton="0" quotePrefix="0" xfId="0">
      <alignment horizontal="right" vertical="bottom"/>
    </xf>
    <xf numFmtId="0" fontId="4" fillId="5" borderId="1" applyAlignment="1" pivotButton="0" quotePrefix="0" xfId="0">
      <alignment vertical="center"/>
    </xf>
    <xf numFmtId="1" fontId="4" fillId="5" borderId="1" applyAlignment="1" pivotButton="0" quotePrefix="0" xfId="0">
      <alignment horizontal="center" vertical="center"/>
    </xf>
    <xf numFmtId="0" fontId="4" fillId="5" borderId="1" applyAlignment="1" pivotButton="0" quotePrefix="1" xfId="0">
      <alignment horizontal="center" vertical="center"/>
    </xf>
    <xf numFmtId="0" fontId="6" fillId="0" borderId="1" applyAlignment="1" pivotButton="0" quotePrefix="0" xfId="0">
      <alignment horizontal="right" vertical="bottom"/>
    </xf>
    <xf numFmtId="0" fontId="7" fillId="4" borderId="1" applyAlignment="1" pivotButton="0" quotePrefix="0" xfId="0">
      <alignment vertical="center"/>
    </xf>
    <xf numFmtId="0" fontId="7" fillId="4"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7" fillId="3" borderId="1" applyAlignment="1" pivotButton="0" quotePrefix="0" xfId="0">
      <alignment vertical="center"/>
    </xf>
    <xf numFmtId="0" fontId="7" fillId="3" borderId="1" applyAlignment="1" pivotButton="0" quotePrefix="0" xfId="0">
      <alignment horizontal="center" vertical="center"/>
    </xf>
    <xf numFmtId="0" fontId="8" fillId="5" borderId="1" applyAlignment="1" pivotButton="0" quotePrefix="0" xfId="0">
      <alignment vertical="center"/>
    </xf>
    <xf numFmtId="0" fontId="4" fillId="5" borderId="1" applyAlignment="1" pivotButton="0" quotePrefix="0" xfId="0">
      <alignment horizontal="center" vertical="center"/>
    </xf>
    <xf numFmtId="0" fontId="9" fillId="4" borderId="1" applyAlignment="1" pivotButton="0" quotePrefix="0" xfId="0">
      <alignment vertical="center"/>
    </xf>
    <xf numFmtId="0" fontId="2" fillId="3" borderId="1" applyAlignment="1" pivotButton="0" quotePrefix="0" xfId="0">
      <alignment vertical="center"/>
    </xf>
    <xf numFmtId="0" fontId="2" fillId="3" borderId="1" applyAlignment="1" pivotButton="0" quotePrefix="0" xfId="0">
      <alignment horizontal="right" vertical="bottom"/>
    </xf>
    <xf numFmtId="0" fontId="7" fillId="5" borderId="1" applyAlignment="1" pivotButton="0" quotePrefix="0" xfId="0">
      <alignment vertical="center"/>
    </xf>
    <xf numFmtId="0" fontId="10" fillId="6" borderId="2" applyAlignment="1" pivotButton="0" quotePrefix="0" xfId="0">
      <alignment horizontal="left"/>
    </xf>
    <xf numFmtId="0" fontId="10" fillId="0" borderId="0" pivotButton="0" quotePrefix="0" xfId="0"/>
    <xf numFmtId="49" fontId="10" fillId="0" borderId="0" applyAlignment="1" pivotButton="0" quotePrefix="0" xfId="0">
      <alignment horizontal="right"/>
    </xf>
    <xf numFmtId="0" fontId="10" fillId="0" borderId="0" applyAlignment="1" pivotButton="0" quotePrefix="0" xfId="0">
      <alignment horizontal="right"/>
    </xf>
    <xf numFmtId="0" fontId="11" fillId="3" borderId="0" pivotButton="0" quotePrefix="0" xfId="0"/>
    <xf numFmtId="49" fontId="11" fillId="3" borderId="0" applyAlignment="1" pivotButton="0" quotePrefix="0" xfId="0">
      <alignment horizontal="right"/>
    </xf>
    <xf numFmtId="0" fontId="11" fillId="3" borderId="0" applyAlignment="1" pivotButton="0" quotePrefix="0" xfId="0">
      <alignment horizontal="right"/>
    </xf>
    <xf numFmtId="0" fontId="10" fillId="4" borderId="0" pivotButton="0" quotePrefix="0" xfId="0"/>
    <xf numFmtId="49" fontId="10" fillId="4" borderId="0" applyAlignment="1" pivotButton="0" quotePrefix="0" xfId="0">
      <alignment horizontal="right"/>
    </xf>
    <xf numFmtId="0" fontId="10" fillId="4" borderId="0" applyAlignment="1" pivotButton="0" quotePrefix="0" xfId="0">
      <alignment horizontal="right"/>
    </xf>
    <xf numFmtId="0" fontId="10" fillId="3" borderId="0" pivotButton="0" quotePrefix="0" xfId="0"/>
    <xf numFmtId="49" fontId="10" fillId="3" borderId="0" applyAlignment="1" pivotButton="0" quotePrefix="0" xfId="0">
      <alignment horizontal="right"/>
    </xf>
    <xf numFmtId="0" fontId="10" fillId="3" borderId="0" applyAlignment="1" pivotButton="0" quotePrefix="0" xfId="0">
      <alignment horizontal="right"/>
    </xf>
    <xf numFmtId="49" fontId="12" fillId="0" borderId="0" pivotButton="0" quotePrefix="0" xfId="0"/>
    <xf numFmtId="0" fontId="10" fillId="0" borderId="0" applyAlignment="1" pivotButton="0" quotePrefix="0" xfId="0">
      <alignment vertical="bottom"/>
    </xf>
    <xf numFmtId="0" fontId="10" fillId="0" borderId="0" applyAlignment="1" pivotButton="0" quotePrefix="0" xfId="0">
      <alignment vertical="bottom"/>
    </xf>
    <xf numFmtId="0" fontId="10" fillId="4" borderId="0" pivotButton="0" quotePrefix="0" xfId="0"/>
    <xf numFmtId="0" fontId="10" fillId="3" borderId="0" pivotButton="0" quotePrefix="0" xfId="0"/>
    <xf numFmtId="11" fontId="10" fillId="3" borderId="0" applyAlignment="1" pivotButton="0" quotePrefix="0" xfId="0">
      <alignment horizontal="right"/>
    </xf>
    <xf numFmtId="11" fontId="10" fillId="4" borderId="0" applyAlignment="1" pivotButton="0" quotePrefix="0" xfId="0">
      <alignment horizontal="right"/>
    </xf>
    <xf numFmtId="0" fontId="10" fillId="3" borderId="3" pivotButton="0" quotePrefix="0" xfId="0"/>
    <xf numFmtId="11" fontId="10" fillId="3" borderId="3" applyAlignment="1" pivotButton="0" quotePrefix="0" xfId="0">
      <alignment horizontal="right"/>
    </xf>
    <xf numFmtId="0" fontId="10" fillId="3" borderId="3" applyAlignment="1" pivotButton="0" quotePrefix="0" xfId="0">
      <alignment horizontal="right"/>
    </xf>
    <xf numFmtId="0" fontId="13" fillId="7" borderId="4" pivotButton="0" quotePrefix="0" xfId="0"/>
    <xf numFmtId="0" fontId="14" fillId="8" borderId="5" applyAlignment="1" pivotButton="0" quotePrefix="0" xfId="0">
      <alignment horizontal="center" vertical="center" wrapText="1"/>
    </xf>
    <xf numFmtId="0" fontId="15" fillId="9" borderId="1" pivotButton="0" quotePrefix="0" xfId="0"/>
    <xf numFmtId="0" fontId="15" fillId="10" borderId="1" pivotButton="0" quotePrefix="0" xfId="0"/>
    <xf numFmtId="0" fontId="15" fillId="10" borderId="6" pivotButton="0" quotePrefix="0" xfId="0"/>
    <xf numFmtId="0" fontId="15" fillId="10" borderId="5" pivotButton="0" quotePrefix="0" xfId="0"/>
    <xf numFmtId="0" fontId="15" fillId="11" borderId="5" pivotButton="0" quotePrefix="0" xfId="0"/>
    <xf numFmtId="0" fontId="16" fillId="11" borderId="5" pivotButton="0" quotePrefix="0" xfId="0"/>
    <xf numFmtId="0" fontId="15" fillId="12" borderId="5" pivotButton="0" quotePrefix="0" xfId="0"/>
    <xf numFmtId="0" fontId="16" fillId="12" borderId="5" pivotButton="0" quotePrefix="0" xfId="0"/>
    <xf numFmtId="0" fontId="15" fillId="13" borderId="5" pivotButton="0" quotePrefix="0" xfId="0"/>
    <xf numFmtId="0" fontId="16" fillId="13" borderId="5" pivotButton="0" quotePrefix="0" xfId="0"/>
    <xf numFmtId="0" fontId="15" fillId="14" borderId="5" pivotButton="0" quotePrefix="0" xfId="0"/>
    <xf numFmtId="0" fontId="16" fillId="14" borderId="5" pivotButton="0" quotePrefix="0" xfId="0"/>
    <xf numFmtId="0" fontId="15" fillId="15" borderId="5" pivotButton="0" quotePrefix="0" xfId="0"/>
    <xf numFmtId="0" fontId="16" fillId="15" borderId="5" pivotButton="0" quotePrefix="0" xfId="0"/>
    <xf numFmtId="0" fontId="15" fillId="10" borderId="4" pivotButton="0" quotePrefix="0" xfId="0"/>
    <xf numFmtId="0" fontId="15" fillId="14" borderId="7" pivotButton="0" quotePrefix="0" xfId="0"/>
    <xf numFmtId="0" fontId="16" fillId="16" borderId="1" pivotButton="0" quotePrefix="0" xfId="0"/>
    <xf numFmtId="0" fontId="16" fillId="17" borderId="1" pivotButton="0" quotePrefix="0" xfId="0"/>
    <xf numFmtId="0" fontId="16" fillId="18" borderId="1" pivotButton="0" quotePrefix="0" xfId="0"/>
    <xf numFmtId="0" fontId="16" fillId="5" borderId="1" pivotButton="0" quotePrefix="0" xfId="0"/>
    <xf numFmtId="0" fontId="16" fillId="5" borderId="4" pivotButton="0" quotePrefix="0" xfId="0"/>
    <xf numFmtId="0" fontId="17" fillId="19" borderId="4" applyAlignment="1" pivotButton="0" quotePrefix="0" xfId="0">
      <alignment horizontal="center" vertical="center"/>
    </xf>
    <xf numFmtId="0" fontId="18" fillId="20" borderId="8" applyAlignment="1" pivotButton="0" quotePrefix="0" xfId="0">
      <alignment vertical="center"/>
    </xf>
    <xf numFmtId="0" fontId="19" fillId="20" borderId="8" applyAlignment="1" pivotButton="0" quotePrefix="0" xfId="0">
      <alignment vertical="center"/>
    </xf>
    <xf numFmtId="0" fontId="18" fillId="20" borderId="0" applyAlignment="1" pivotButton="0" quotePrefix="0" xfId="0">
      <alignment vertical="center"/>
    </xf>
    <xf numFmtId="0" fontId="15" fillId="0" borderId="8" applyAlignment="1" pivotButton="0" quotePrefix="0" xfId="0">
      <alignment vertical="center"/>
    </xf>
    <xf numFmtId="0" fontId="20" fillId="21" borderId="8" applyAlignment="1" pivotButton="0" quotePrefix="0" xfId="0">
      <alignment vertical="center"/>
    </xf>
    <xf numFmtId="0" fontId="15" fillId="0" borderId="0" applyAlignment="1" pivotButton="0" quotePrefix="0" xfId="0">
      <alignment vertical="center"/>
    </xf>
    <xf numFmtId="0" fontId="21" fillId="22" borderId="8" applyAlignment="1" pivotButton="0" quotePrefix="0" xfId="0">
      <alignment vertical="center"/>
    </xf>
    <xf numFmtId="0" fontId="22" fillId="23" borderId="8" applyAlignment="1" pivotButton="0" quotePrefix="0" xfId="0">
      <alignment vertical="center"/>
    </xf>
    <xf numFmtId="0" fontId="18" fillId="24" borderId="8" applyAlignment="1" pivotButton="0" quotePrefix="0" xfId="0">
      <alignment vertical="center"/>
    </xf>
    <xf numFmtId="0" fontId="23" fillId="24" borderId="8" applyAlignment="1" pivotButton="0" quotePrefix="0" xfId="0">
      <alignment vertical="center"/>
    </xf>
    <xf numFmtId="0" fontId="18" fillId="24" borderId="0" applyAlignment="1" pivotButton="0" quotePrefix="0" xfId="0">
      <alignment vertical="center"/>
    </xf>
    <xf numFmtId="0" fontId="24" fillId="25" borderId="8" applyAlignment="1" pivotButton="0" quotePrefix="0" xfId="0">
      <alignment vertical="center"/>
    </xf>
    <xf numFmtId="0" fontId="25" fillId="26" borderId="8" applyAlignment="1" pivotButton="0" quotePrefix="0" xfId="0">
      <alignment vertical="center"/>
    </xf>
    <xf numFmtId="0" fontId="15" fillId="0" borderId="4" applyAlignment="1" pivotButton="0" quotePrefix="0" xfId="0">
      <alignment vertical="center"/>
    </xf>
    <xf numFmtId="0" fontId="26" fillId="0" borderId="0" applyAlignment="1" pivotButton="0" quotePrefix="0" xfId="0">
      <alignment horizontal="center" vertical="center"/>
    </xf>
    <xf numFmtId="0" fontId="26" fillId="0" borderId="0" applyAlignment="1" pivotButton="0" quotePrefix="0" xfId="0">
      <alignment horizontal="center" vertical="center"/>
    </xf>
    <xf numFmtId="0" fontId="27" fillId="0" borderId="5" applyAlignment="1" pivotButton="0" quotePrefix="0" xfId="0">
      <alignment horizontal="left" vertical="center"/>
    </xf>
    <xf numFmtId="0" fontId="27" fillId="0" borderId="5" applyAlignment="1" pivotButton="0" quotePrefix="0" xfId="0">
      <alignment vertical="center"/>
    </xf>
    <xf numFmtId="0" fontId="28" fillId="0" borderId="5" applyAlignment="1" pivotButton="0" quotePrefix="0" xfId="0">
      <alignment vertical="center"/>
    </xf>
    <xf numFmtId="0" fontId="29" fillId="0" borderId="5" applyAlignment="1" pivotButton="0" quotePrefix="0" xfId="0">
      <alignment vertical="center"/>
    </xf>
    <xf numFmtId="0" fontId="30" fillId="27" borderId="5" applyAlignment="1" pivotButton="0" quotePrefix="0" xfId="0">
      <alignment horizontal="center" vertical="center"/>
    </xf>
    <xf numFmtId="0" fontId="27" fillId="0" borderId="5" applyAlignment="1" pivotButton="0" quotePrefix="0" xfId="0">
      <alignment horizontal="center" vertical="center"/>
    </xf>
    <xf numFmtId="0" fontId="17" fillId="8" borderId="5" applyAlignment="1" pivotButton="0" quotePrefix="0" xfId="0">
      <alignment horizontal="center" vertical="center"/>
    </xf>
    <xf numFmtId="0" fontId="27" fillId="0" borderId="5" applyAlignment="1" pivotButton="0" quotePrefix="0" xfId="0">
      <alignment horizontal="left" vertical="center"/>
    </xf>
    <xf numFmtId="0" fontId="31" fillId="0" borderId="0" pivotButton="0" quotePrefix="0" xfId="0"/>
    <xf numFmtId="0" fontId="31" fillId="0" borderId="0" pivotButton="0" quotePrefix="0" xfId="0"/>
    <xf numFmtId="0" fontId="32" fillId="0" borderId="0" pivotButton="0" quotePrefix="0" xfId="0"/>
    <xf numFmtId="0" fontId="32" fillId="0" borderId="0" pivotButton="0" quotePrefix="0" xfId="0"/>
    <xf numFmtId="0" fontId="0" fillId="0" borderId="0" pivotButton="0" quotePrefix="0" xfId="0"/>
    <xf numFmtId="0" fontId="33" fillId="0" borderId="0" pivotButton="0" quotePrefix="0" xfId="0"/>
    <xf numFmtId="0" fontId="34" fillId="0" borderId="5" applyAlignment="1" pivotButton="0" quotePrefix="0" xfId="0">
      <alignment vertical="center"/>
    </xf>
    <xf numFmtId="0" fontId="34" fillId="0" borderId="0" applyAlignment="1" pivotButton="0" quotePrefix="0" xfId="0">
      <alignment horizontal="center" vertical="center"/>
    </xf>
    <xf numFmtId="0" fontId="34" fillId="0" borderId="0" pivotButton="0" quotePrefix="0" xfId="0"/>
    <xf numFmtId="0" fontId="33" fillId="0" borderId="0" applyAlignment="1" pivotButton="0" quotePrefix="0" xfId="0">
      <alignment horizontal="left" vertical="center"/>
    </xf>
  </cellXfs>
  <cellStyles count="1">
    <cellStyle name="Normal" xfId="0" builtinId="0"/>
  </cellStyles>
  <dxfs count="8">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Codegen Detailed-style" pivot="0" count="4">
      <tableStyleElement type="headerRow" dxfId="1"/>
      <tableStyleElement type="firstRowStripe" dxfId="2"/>
      <tableStyleElement type="secondRowStripe" dxfId="3"/>
      <tableStyleElement type="wholeTable" size="0" dxfId="4"/>
    </tableStyle>
    <tableStyle name="All Members-style" pivot="0" count="4">
      <tableStyleElement type="headerRow" dxfId="5"/>
      <tableStyleElement type="firstRowStripe" dxfId="2"/>
      <tableStyleElement type="secondRowStripe" dxfId="6"/>
      <tableStyleElement type="wholeTable" size="0"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ables/table1.xml><?xml version="1.0" encoding="utf-8"?>
<table xmlns="http://schemas.openxmlformats.org/spreadsheetml/2006/main" id="1" name="Table1" displayName="Table1" ref="A1:F61" headerRowCount="1">
  <tableColumns count="6">
    <tableColumn id="1" name="Email"/>
    <tableColumn id="2" name="First Name"/>
    <tableColumn id="3" name="Last Name"/>
    <tableColumn id="4" name="National Identity Card Number (NIC) "/>
    <tableColumn id="5" name="WhatsApp Number "/>
    <tableColumn id="6" name="Membership Number "/>
  </tableColumns>
  <tableStyleInfo name="Codegen Detailed-style" showFirstColumn="1" showLastColumn="1" showRowStripes="1" showColumnStripes="0"/>
</table>
</file>

<file path=xl/tables/table2.xml><?xml version="1.0" encoding="utf-8"?>
<table xmlns="http://schemas.openxmlformats.org/spreadsheetml/2006/main" id="2" name="Table2" displayName="Table2" ref="A1:L206" headerRowCount="1">
  <autoFilter ref="$A$1:$L$206">
    <filterColumn colId="11" hiddenButton="0" showButton="1">
      <filters>
        <filter val="Y"/>
      </filters>
    </filterColumn>
  </autoFilter>
  <tableColumns count="12">
    <tableColumn id="1" name="Full Name"/>
    <tableColumn id="2" name="NIC"/>
    <tableColumn id="3" name="IEEE Membership Number"/>
    <tableColumn id="4" name="Phone Number"/>
    <tableColumn id="5" name="Email Address"/>
    <tableColumn id="6" name="Total Visits Count"/>
    <tableColumn id="7" name="Atlas Labs"/>
    <tableColumn id="8" name="WSO2"/>
    <tableColumn id="9" name="Codegen"/>
    <tableColumn id="10" name="Orange"/>
    <tableColumn id="11" name="Rootcode"/>
    <tableColumn id="12" name="IFS"/>
  </tableColumns>
  <tableStyleInfo name="All Member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mailto:achirakaru2002@gmail.com" TargetMode="External" Id="rId1" /><Relationship Type="http://schemas.openxmlformats.org/officeDocument/2006/relationships/hyperlink" Target="mailto:chamudirashmikawelikanna@gmail.com" TargetMode="External" Id="rId2" /><Relationship Type="http://schemas.openxmlformats.org/officeDocument/2006/relationships/hyperlink" Target="mailto:thilakarathneskth@gmail.com" TargetMode="External" Id="rId3" /><Relationship Type="http://schemas.openxmlformats.org/officeDocument/2006/relationships/table" Target="/xl/tables/table1.xml" Id="rId4" /></Relationships>
</file>

<file path=xl/worksheets/_rels/sheet9.xml.rels><Relationships xmlns="http://schemas.openxmlformats.org/package/2006/relationships"><Relationship Type="http://schemas.openxmlformats.org/officeDocument/2006/relationships/hyperlink" Target="mailto:adv.dinuka@gmail.com" TargetMode="External" Id="rId1" /><Relationship Type="http://schemas.openxmlformats.org/officeDocument/2006/relationships/hyperlink" Target="mailto:yasiruvitharanage@gmail.com" TargetMode="External" Id="rId2" /><Relationship Type="http://schemas.openxmlformats.org/officeDocument/2006/relationships/hyperlink" Target="mailto:udawaththasavinath@gmail.com" TargetMode="External" Id="rId3" /><Relationship Type="http://schemas.openxmlformats.org/officeDocument/2006/relationships/hyperlink" Target="mailto:dakshinayasi@gmail.com" TargetMode="External" Id="rId4" /><Relationship Type="http://schemas.openxmlformats.org/officeDocument/2006/relationships/hyperlink" Target="mailto:mandirapmh@gmail.com" TargetMode="External" Id="rId5" /><Relationship Type="http://schemas.openxmlformats.org/officeDocument/2006/relationships/hyperlink" Target="mailto:kasunvimukthiba000@gmail.com" TargetMode="External" Id="rId6" /><Relationship Type="http://schemas.openxmlformats.org/officeDocument/2006/relationships/hyperlink" Target="mailto:sethumd2003@gmail.com" TargetMode="External" Id="rId7" /><Relationship Type="http://schemas.openxmlformats.org/officeDocument/2006/relationships/hyperlink" Target="mailto:pamithdulkith2002@gmail.com" TargetMode="External" Id="rId8" /><Relationship Type="http://schemas.openxmlformats.org/officeDocument/2006/relationships/hyperlink" Target="mailto:prabhaharankahadeniya911@gmail.com" TargetMode="External" Id="rId9" /><Relationship Type="http://schemas.openxmlformats.org/officeDocument/2006/relationships/hyperlink" Target="mailto:sirimanav123@gmail.com" TargetMode="External" Id="rId10" /><Relationship Type="http://schemas.openxmlformats.org/officeDocument/2006/relationships/hyperlink" Target="mailto:inukadamhiruweerawardhana@gmail.com" TargetMode="External" Id="rId11" /><Relationship Type="http://schemas.openxmlformats.org/officeDocument/2006/relationships/hyperlink" Target="mailto:sachith.sanjuka2000@gmail.com" TargetMode="External" Id="rId12" /><Relationship Type="http://schemas.openxmlformats.org/officeDocument/2006/relationships/hyperlink" Target="mailto:chamodshyamal12@gmail.com" TargetMode="External" Id="rId13" /><Relationship Type="http://schemas.openxmlformats.org/officeDocument/2006/relationships/hyperlink" Target="mailto:randinuimeth@gmail.com" TargetMode="External" Id="rId14" /><Relationship Type="http://schemas.openxmlformats.org/officeDocument/2006/relationships/hyperlink" Target="mailto:oshinijagoda@gmail.com" TargetMode="External" Id="rId15" /><Relationship Type="http://schemas.openxmlformats.org/officeDocument/2006/relationships/hyperlink" Target="mailto:chathumina@ieee.org" TargetMode="External" Id="rId16" /><Relationship Type="http://schemas.openxmlformats.org/officeDocument/2006/relationships/hyperlink" Target="mailto:senewicks@gmail.com" TargetMode="External" Id="rId17" /><Relationship Type="http://schemas.openxmlformats.org/officeDocument/2006/relationships/hyperlink" Target="mailto:gathsaragunasinghe606@gmail.com" TargetMode="External" Id="rId18" /><Relationship Type="http://schemas.openxmlformats.org/officeDocument/2006/relationships/hyperlink" Target="mailto:en23696310@my.sliit.lk" TargetMode="External" Id="rId19" /><Relationship Type="http://schemas.openxmlformats.org/officeDocument/2006/relationships/hyperlink" Target="mailto:wijesundaraparami121@gmail.com" TargetMode="External" Id="rId20" /><Relationship Type="http://schemas.openxmlformats.org/officeDocument/2006/relationships/hyperlink" Target="mailto:sehansawelihinda@gmail.com" TargetMode="External" Id="rId21" /><Relationship Type="http://schemas.openxmlformats.org/officeDocument/2006/relationships/hyperlink" Target="mailto:samadimadumali125@gmail.com" TargetMode="External" Id="rId22" /><Relationship Type="http://schemas.openxmlformats.org/officeDocument/2006/relationships/hyperlink" Target="mailto:en24030144@my.sliit.lk" TargetMode="External" Id="rId23" /><Relationship Type="http://schemas.openxmlformats.org/officeDocument/2006/relationships/hyperlink" Target="mailto:en22185334@my.sliit.lk" TargetMode="External" Id="rId24" /><Relationship Type="http://schemas.openxmlformats.org/officeDocument/2006/relationships/hyperlink" Target="mailto:saadhathxlr8@gmail.com" TargetMode="External" Id="rId25" /><Relationship Type="http://schemas.openxmlformats.org/officeDocument/2006/relationships/hyperlink" Target="mailto:dinukig13@gmail.com" TargetMode="External" Id="rId26" /><Relationship Type="http://schemas.openxmlformats.org/officeDocument/2006/relationships/hyperlink" Target="mailto:ransiluni.2002@gmail.com" TargetMode="External" Id="rId27" /><Relationship Type="http://schemas.openxmlformats.org/officeDocument/2006/relationships/hyperlink" Target="mailto:shenalifernando856@gmail.com" TargetMode="External" Id="rId28" /><Relationship Type="http://schemas.openxmlformats.org/officeDocument/2006/relationships/hyperlink" Target="mailto:supundirashmini200311@gmail.com" TargetMode="External" Id="rId29" /><Relationship Type="http://schemas.openxmlformats.org/officeDocument/2006/relationships/hyperlink" Target="mailto:manithsgamage@gmail.com" TargetMode="External" Id="rId30" /><Relationship Type="http://schemas.openxmlformats.org/officeDocument/2006/relationships/hyperlink" Target="mailto:nimnadi.01@gmail.com" TargetMode="External" Id="rId31" /><Relationship Type="http://schemas.openxmlformats.org/officeDocument/2006/relationships/hyperlink" Target="mailto:shageejoxtyn@gmail.com" TargetMode="External" Id="rId32" /><Relationship Type="http://schemas.openxmlformats.org/officeDocument/2006/relationships/hyperlink" Target="mailto:sahnasthufail@gmail.com" TargetMode="External" Id="rId33" /><Relationship Type="http://schemas.openxmlformats.org/officeDocument/2006/relationships/hyperlink" Target="mailto:shehanilakshika304@gmail.com" TargetMode="External" Id="rId34" /><Relationship Type="http://schemas.openxmlformats.org/officeDocument/2006/relationships/hyperlink" Target="mailto:ajeesk07@gmail.com" TargetMode="External" Id="rId35" /><Relationship Type="http://schemas.openxmlformats.org/officeDocument/2006/relationships/hyperlink" Target="mailto:onethrajanu2003@gmail.com" TargetMode="External" Id="rId36" /><Relationship Type="http://schemas.openxmlformats.org/officeDocument/2006/relationships/hyperlink" Target="mailto:thilakarathneskth@gmail.com" TargetMode="External" Id="rId37" /><Relationship Type="http://schemas.openxmlformats.org/officeDocument/2006/relationships/hyperlink" Target="mailto:it24103687@my.sliit.lk" TargetMode="External" Id="rId38" /><Relationship Type="http://schemas.openxmlformats.org/officeDocument/2006/relationships/hyperlink" Target="mailto:kaveesharajapaksha77@gmail.com" TargetMode="External" Id="rId39" /><Relationship Type="http://schemas.openxmlformats.org/officeDocument/2006/relationships/hyperlink" Target="mailto:yehaninethmini92@gmail.com" TargetMode="External" Id="rId40" /><Relationship Type="http://schemas.openxmlformats.org/officeDocument/2006/relationships/hyperlink" Target="mailto:wmkavinduudhara@gmail.com" TargetMode="External" Id="rId41" /><Relationship Type="http://schemas.openxmlformats.org/officeDocument/2006/relationships/hyperlink" Target="mailto:kpjmp28@gmail.com" TargetMode="External" Id="rId42" /><Relationship Type="http://schemas.openxmlformats.org/officeDocument/2006/relationships/hyperlink" Target="mailto:faijgroups@gmail.com" TargetMode="External" Id="rId43" /><Relationship Type="http://schemas.openxmlformats.org/officeDocument/2006/relationships/hyperlink" Target="mailto:shxminaoud@gmail.com" TargetMode="External" Id="rId44" /><Relationship Type="http://schemas.openxmlformats.org/officeDocument/2006/relationships/hyperlink" Target="mailto:kavi2005yashini@gmail.com" TargetMode="External" Id="rId45" /><Relationship Type="http://schemas.openxmlformats.org/officeDocument/2006/relationships/hyperlink" Target="mailto:sawanya@gmail.com" TargetMode="External" Id="rId46" /><Relationship Type="http://schemas.openxmlformats.org/officeDocument/2006/relationships/hyperlink" Target="mailto:dahamjayakodyy@gmail.com" TargetMode="External" Id="rId47" /><Relationship Type="http://schemas.openxmlformats.org/officeDocument/2006/relationships/hyperlink" Target="mailto:rum4na.azmi@gmail.com" TargetMode="External" Id="rId48" /><Relationship Type="http://schemas.openxmlformats.org/officeDocument/2006/relationships/hyperlink" Target="mailto:shafkhandssc15@gmail.com" TargetMode="External" Id="rId49" /><Relationship Type="http://schemas.openxmlformats.org/officeDocument/2006/relationships/hyperlink" Target="mailto:hdulithma@gmail.com" TargetMode="External" Id="rId50" /><Relationship Type="http://schemas.openxmlformats.org/officeDocument/2006/relationships/hyperlink" Target="mailto:githarakommalage@gmail.com" TargetMode="External" Id="rId51" /><Relationship Type="http://schemas.openxmlformats.org/officeDocument/2006/relationships/hyperlink" Target="mailto:panapitiyaakini@gmail.com" TargetMode="External" Id="rId52" /><Relationship Type="http://schemas.openxmlformats.org/officeDocument/2006/relationships/hyperlink" Target="mailto:jeyanthansaran@gmail.com" TargetMode="External" Id="rId53" /><Relationship Type="http://schemas.openxmlformats.org/officeDocument/2006/relationships/hyperlink" Target="mailto:gimhaninawodya801@gmail.com" TargetMode="External" Id="rId54" /><Relationship Type="http://schemas.openxmlformats.org/officeDocument/2006/relationships/hyperlink" Target="mailto:vaanushanv06@gmail.com" TargetMode="External" Id="rId55" /><Relationship Type="http://schemas.openxmlformats.org/officeDocument/2006/relationships/hyperlink" Target="mailto:ashwinsharmaroc@gmail.com" TargetMode="External" Id="rId56" /><Relationship Type="http://schemas.openxmlformats.org/officeDocument/2006/relationships/hyperlink" Target="mailto:ar186870@gmail.com" TargetMode="External" Id="rId57" /><Relationship Type="http://schemas.openxmlformats.org/officeDocument/2006/relationships/hyperlink" Target="mailto:online.yeshankp@gmail.com" TargetMode="External" Id="rId58" /><Relationship Type="http://schemas.openxmlformats.org/officeDocument/2006/relationships/hyperlink" Target="mailto:shazna.muees1@gmail.com" TargetMode="External" Id="rId59" /><Relationship Type="http://schemas.openxmlformats.org/officeDocument/2006/relationships/hyperlink" Target="mailto:chanjumohan583@gmail.com" TargetMode="External" Id="rId60" /><Relationship Type="http://schemas.openxmlformats.org/officeDocument/2006/relationships/hyperlink" Target="mailto:mudunayanamihigurathna@gmail.com" TargetMode="External" Id="rId61" /><Relationship Type="http://schemas.openxmlformats.org/officeDocument/2006/relationships/hyperlink" Target="mailto:nethmin703@gmail.com" TargetMode="External" Id="rId62" /><Relationship Type="http://schemas.openxmlformats.org/officeDocument/2006/relationships/hyperlink" Target="mailto:thavishawimalarathne7@gmail.com" TargetMode="External" Id="rId63" /><Relationship Type="http://schemas.openxmlformats.org/officeDocument/2006/relationships/hyperlink" Target="mailto:it25103183@my.sliit.lk" TargetMode="External" Id="rId64" /><Relationship Type="http://schemas.openxmlformats.org/officeDocument/2006/relationships/hyperlink" Target="mailto:nipundthilanka2246@gmail.com" TargetMode="External" Id="rId65" /><Relationship Type="http://schemas.openxmlformats.org/officeDocument/2006/relationships/hyperlink" Target="mailto:dulni3s@gmail.com" TargetMode="External" Id="rId66" /><Relationship Type="http://schemas.openxmlformats.org/officeDocument/2006/relationships/hyperlink" Target="mailto:mihijith.panagoda@gmail.com" TargetMode="External" Id="rId67" /><Relationship Type="http://schemas.openxmlformats.org/officeDocument/2006/relationships/hyperlink" Target="mailto:chathuniyasassri@gmail.com" TargetMode="External" Id="rId68" /><Relationship Type="http://schemas.openxmlformats.org/officeDocument/2006/relationships/hyperlink" Target="mailto:wijerathna.dev.2004@gmail.com" TargetMode="External" Id="rId69" /><Relationship Type="http://schemas.openxmlformats.org/officeDocument/2006/relationships/hyperlink" Target="mailto:sisinagunasekara@gmail.com" TargetMode="External" Id="rId70" /><Relationship Type="http://schemas.openxmlformats.org/officeDocument/2006/relationships/hyperlink" Target="mailto:dgalappaththi.20@gmail.com" TargetMode="External" Id="rId71" /><Relationship Type="http://schemas.openxmlformats.org/officeDocument/2006/relationships/hyperlink" Target="mailto:achinchandrasiri@gmail.com" TargetMode="External" Id="rId72" /><Relationship Type="http://schemas.openxmlformats.org/officeDocument/2006/relationships/hyperlink" Target="mailto:kahilzaman@gmail.com" TargetMode="External" Id="rId73" /><Relationship Type="http://schemas.openxmlformats.org/officeDocument/2006/relationships/hyperlink" Target="mailto:amanijfofficial@gmail.com" TargetMode="External" Id="rId74" /><Relationship Type="http://schemas.openxmlformats.org/officeDocument/2006/relationships/hyperlink" Target="mailto:navidamanawadu12@gmail.com" TargetMode="External" Id="rId75" /><Relationship Type="http://schemas.openxmlformats.org/officeDocument/2006/relationships/hyperlink" Target="mailto:mihisaralasindu45@gmail.com" TargetMode="External" Id="rId76" /><Relationship Type="http://schemas.openxmlformats.org/officeDocument/2006/relationships/hyperlink" Target="mailto:en25300524@my.sliit.lk" TargetMode="External" Id="rId77" /><Relationship Type="http://schemas.openxmlformats.org/officeDocument/2006/relationships/hyperlink" Target="mailto:tgkanujith@gmail.com" TargetMode="External" Id="rId78" /><Relationship Type="http://schemas.openxmlformats.org/officeDocument/2006/relationships/hyperlink" Target="mailto:minodherath@gmail.com" TargetMode="External" Id="rId79" /><Relationship Type="http://schemas.openxmlformats.org/officeDocument/2006/relationships/hyperlink" Target="mailto:methulkenulav@gmail.com" TargetMode="External" Id="rId80" /><Relationship Type="http://schemas.openxmlformats.org/officeDocument/2006/relationships/hyperlink" Target="mailto:dulithashakya@gmail.com" TargetMode="External" Id="rId81" /><Relationship Type="http://schemas.openxmlformats.org/officeDocument/2006/relationships/hyperlink" Target="mailto:chrismalranasinghe2006@gmail.com" TargetMode="External" Id="rId82" /><Relationship Type="http://schemas.openxmlformats.org/officeDocument/2006/relationships/hyperlink" Target="mailto:vbkumararathna20@gmail.com" TargetMode="External" Id="rId83" /><Relationship Type="http://schemas.openxmlformats.org/officeDocument/2006/relationships/hyperlink" Target="mailto:shanuk.silva50@gmail.com" TargetMode="External" Id="rId84" /><Relationship Type="http://schemas.openxmlformats.org/officeDocument/2006/relationships/hyperlink" Target="mailto:yumallakmitha@gmail.com" TargetMode="External" Id="rId85" /><Relationship Type="http://schemas.openxmlformats.org/officeDocument/2006/relationships/hyperlink" Target="mailto:sahannethumina2020@gmail.com" TargetMode="External" Id="rId86" /><Relationship Type="http://schemas.openxmlformats.org/officeDocument/2006/relationships/hyperlink" Target="mailto:ashanvfx@gmail.com" TargetMode="External" Id="rId87" /><Relationship Type="http://schemas.openxmlformats.org/officeDocument/2006/relationships/hyperlink" Target="mailto:nethakasiriwardena@gmail.com" TargetMode="External" Id="rId88" /><Relationship Type="http://schemas.openxmlformats.org/officeDocument/2006/relationships/hyperlink" Target="mailto:laksrisenura@gmail.com" TargetMode="External" Id="rId89" /><Relationship Type="http://schemas.openxmlformats.org/officeDocument/2006/relationships/hyperlink" Target="mailto:pereratinuli2005@gmail.com" TargetMode="External" Id="rId90" /><Relationship Type="http://schemas.openxmlformats.org/officeDocument/2006/relationships/hyperlink" Target="mailto:tdiddamalgoda@gmail.com" TargetMode="External" Id="rId91" /><Relationship Type="http://schemas.openxmlformats.org/officeDocument/2006/relationships/hyperlink" Target="mailto:en25300046@my.sliit.lk" TargetMode="External" Id="rId92" /><Relationship Type="http://schemas.openxmlformats.org/officeDocument/2006/relationships/hyperlink" Target="mailto:en25300385@my.sliit.lk" TargetMode="External" Id="rId93" /><Relationship Type="http://schemas.openxmlformats.org/officeDocument/2006/relationships/hyperlink" Target="mailto:en25300312@my.sliit.lk" TargetMode="External" Id="rId94" /><Relationship Type="http://schemas.openxmlformats.org/officeDocument/2006/relationships/hyperlink" Target="mailto:thamindu7777adhikari@gmail.com" TargetMode="External" Id="rId95" /><Relationship Type="http://schemas.openxmlformats.org/officeDocument/2006/relationships/hyperlink" Target="mailto:en25510025@my.sliit.lk" TargetMode="External" Id="rId96" /><Relationship Type="http://schemas.openxmlformats.org/officeDocument/2006/relationships/hyperlink" Target="mailto:bandarakkgti@gmail.com" TargetMode="External" Id="rId97" /><Relationship Type="http://schemas.openxmlformats.org/officeDocument/2006/relationships/hyperlink" Target="mailto:en25300364@my.sliit.lk" TargetMode="External" Id="rId98" /><Relationship Type="http://schemas.openxmlformats.org/officeDocument/2006/relationships/hyperlink" Target="mailto:it25100414@gmail.com" TargetMode="External" Id="rId99" /><Relationship Type="http://schemas.openxmlformats.org/officeDocument/2006/relationships/hyperlink" Target="mailto:en25300067@my.sliit.lk" TargetMode="External" Id="rId100" /><Relationship Type="http://schemas.openxmlformats.org/officeDocument/2006/relationships/hyperlink" Target="mailto:dgkaveeshasansala@gmail.com" TargetMode="External" Id="rId101" /><Relationship Type="http://schemas.openxmlformats.org/officeDocument/2006/relationships/hyperlink" Target="mailto:livisarasenithu902@gmail.com" TargetMode="External" Id="rId102" /><Relationship Type="http://schemas.openxmlformats.org/officeDocument/2006/relationships/hyperlink" Target="mailto:en25300140@my.sliit.lk" TargetMode="External" Id="rId103" /><Relationship Type="http://schemas.openxmlformats.org/officeDocument/2006/relationships/hyperlink" Target="mailto:ashik007mmm@gmail.com" TargetMode="External" Id="rId104" /><Relationship Type="http://schemas.openxmlformats.org/officeDocument/2006/relationships/hyperlink" Target="mailto:theminipiyanma@gmail.com" TargetMode="External" Id="rId105" /><Relationship Type="http://schemas.openxmlformats.org/officeDocument/2006/relationships/hyperlink" Target="mailto:nelukibalasooriya@gmail.com" TargetMode="External" Id="rId106" /><Relationship Type="http://schemas.openxmlformats.org/officeDocument/2006/relationships/hyperlink" Target="mailto:thisumwellahewage@gmail.com" TargetMode="External" Id="rId107" /><Relationship Type="http://schemas.openxmlformats.org/officeDocument/2006/relationships/hyperlink" Target="mailto:en25300242@my.sliit.lk" TargetMode="External" Id="rId108" /><Relationship Type="http://schemas.openxmlformats.org/officeDocument/2006/relationships/hyperlink" Target="mailto:dumindukkdl0310@gmail.com" TargetMode="External" Id="rId109" /><Relationship Type="http://schemas.openxmlformats.org/officeDocument/2006/relationships/hyperlink" Target="mailto:savidusithum899@gmail.com" TargetMode="External" Id="rId110" /><Relationship Type="http://schemas.openxmlformats.org/officeDocument/2006/relationships/hyperlink" Target="mailto:nkwithana@gmail.com" TargetMode="External" Id="rId111" /><Relationship Type="http://schemas.openxmlformats.org/officeDocument/2006/relationships/hyperlink" Target="mailto:en25300317@my.sliit.lk" TargetMode="External" Id="rId112" /><Relationship Type="http://schemas.openxmlformats.org/officeDocument/2006/relationships/hyperlink" Target="mailto:warshanaweerasooriya440@gmail.com" TargetMode="External" Id="rId113" /><Relationship Type="http://schemas.openxmlformats.org/officeDocument/2006/relationships/hyperlink" Target="mailto:en25100345@my.sliit.lk" TargetMode="External" Id="rId114" /><Relationship Type="http://schemas.openxmlformats.org/officeDocument/2006/relationships/hyperlink" Target="mailto:en25300189@my.sliit.lk" TargetMode="External" Id="rId115" /><Relationship Type="http://schemas.openxmlformats.org/officeDocument/2006/relationships/hyperlink" Target="mailto:achirakaru2002@gmail.com" TargetMode="External" Id="rId116" /><Relationship Type="http://schemas.openxmlformats.org/officeDocument/2006/relationships/hyperlink" Target="mailto:chamudirashmikawelikanna@gmail.com" TargetMode="External" Id="rId117" /><Relationship Type="http://schemas.openxmlformats.org/officeDocument/2006/relationships/hyperlink" Target="mailto:sithumsathsara111@gmail.com" TargetMode="External" Id="rId118" /><Relationship Type="http://schemas.openxmlformats.org/officeDocument/2006/relationships/hyperlink" Target="mailto:gethma2005@gmail.com" TargetMode="External" Id="rId119" /><Relationship Type="http://schemas.openxmlformats.org/officeDocument/2006/relationships/hyperlink" Target="mailto:nimashadharmadasa1222@gmail.com" TargetMode="External" Id="rId120" /><Relationship Type="http://schemas.openxmlformats.org/officeDocument/2006/relationships/hyperlink" Target="mailto:anjanaayomal@gmail.com" TargetMode="External" Id="rId121" /><Relationship Type="http://schemas.openxmlformats.org/officeDocument/2006/relationships/hyperlink" Target="mailto:en25300403@my.sliit.lk" TargetMode="External" Id="rId122" /><Relationship Type="http://schemas.openxmlformats.org/officeDocument/2006/relationships/hyperlink" Target="mailto:en25300227@my.sliit.lk" TargetMode="External" Id="rId123" /><Relationship Type="http://schemas.openxmlformats.org/officeDocument/2006/relationships/hyperlink" Target="mailto:nethuweerathungaofficial2005@gmail.com" TargetMode="External" Id="rId124" /><Relationship Type="http://schemas.openxmlformats.org/officeDocument/2006/relationships/hyperlink" Target="mailto:lakviduuparasa@gmail.com" TargetMode="External" Id="rId125" /><Relationship Type="http://schemas.openxmlformats.org/officeDocument/2006/relationships/hyperlink" Target="mailto:en25300001@my.sliit.lk" TargetMode="External" Id="rId126" /><Relationship Type="http://schemas.openxmlformats.org/officeDocument/2006/relationships/hyperlink" Target="mailto:thisfordhanuka2005@gmail.com" TargetMode="External" Id="rId127" /><Relationship Type="http://schemas.openxmlformats.org/officeDocument/2006/relationships/hyperlink" Target="mailto:randilsanjana036@gmail.com" TargetMode="External" Id="rId128" /><Relationship Type="http://schemas.openxmlformats.org/officeDocument/2006/relationships/hyperlink" Target="mailto:sajanidhananjana2004@gmail.com" TargetMode="External" Id="rId129" /><Relationship Type="http://schemas.openxmlformats.org/officeDocument/2006/relationships/hyperlink" Target="mailto:en25300181@my.sliit.lk" TargetMode="External" Id="rId130" /><Relationship Type="http://schemas.openxmlformats.org/officeDocument/2006/relationships/hyperlink" Target="mailto:oshanrajakaruna.studies@gmail.com" TargetMode="External" Id="rId131" /><Relationship Type="http://schemas.openxmlformats.org/officeDocument/2006/relationships/hyperlink" Target="mailto:asvinroneth@gmail.com" TargetMode="External" Id="rId132" /><Relationship Type="http://schemas.openxmlformats.org/officeDocument/2006/relationships/hyperlink" Target="mailto:sunkajendrajith@gmail.com" TargetMode="External" Id="rId133" /><Relationship Type="http://schemas.openxmlformats.org/officeDocument/2006/relationships/hyperlink" Target="mailto:devfon@outlook.com" TargetMode="External" Id="rId134" /><Relationship Type="http://schemas.openxmlformats.org/officeDocument/2006/relationships/hyperlink" Target="mailto:senulmintharu@gmail.com" TargetMode="External" Id="rId135" /><Relationship Type="http://schemas.openxmlformats.org/officeDocument/2006/relationships/hyperlink" Target="mailto:inupamacaldera@gmail.com" TargetMode="External" Id="rId136" /><Relationship Type="http://schemas.openxmlformats.org/officeDocument/2006/relationships/hyperlink" Target="mailto:imetheeshan@gmail.com" TargetMode="External" Id="rId137" /><Relationship Type="http://schemas.openxmlformats.org/officeDocument/2006/relationships/hyperlink" Target="mailto:jesuyaan.jj26@gmail.com" TargetMode="External" Id="rId138" /><Relationship Type="http://schemas.openxmlformats.org/officeDocument/2006/relationships/hyperlink" Target="mailto:udarasahan2005@gmail.com" TargetMode="External" Id="rId139" /><Relationship Type="http://schemas.openxmlformats.org/officeDocument/2006/relationships/hyperlink" Target="mailto:tkewan.live@gmail.com" TargetMode="External" Id="rId140" /><Relationship Type="http://schemas.openxmlformats.org/officeDocument/2006/relationships/hyperlink" Target="mailto:senitha14anujaya@gmail.com" TargetMode="External" Id="rId141" /><Relationship Type="http://schemas.openxmlformats.org/officeDocument/2006/relationships/hyperlink" Target="mailto:kshagash@gmail.com" TargetMode="External" Id="rId142" /><Relationship Type="http://schemas.openxmlformats.org/officeDocument/2006/relationships/hyperlink" Target="mailto:gaveenperera7@gmail.com" TargetMode="External" Id="rId143" /><Relationship Type="http://schemas.openxmlformats.org/officeDocument/2006/relationships/hyperlink" Target="mailto:jaan25liyanage@gmail.com" TargetMode="External" Id="rId144" /><Relationship Type="http://schemas.openxmlformats.org/officeDocument/2006/relationships/hyperlink" Target="mailto:sanupavi1220@gmail.com" TargetMode="External" Id="rId145" /><Relationship Type="http://schemas.openxmlformats.org/officeDocument/2006/relationships/hyperlink" Target="mailto:dinalinawarathna@gmail.com" TargetMode="External" Id="rId146" /><Relationship Type="http://schemas.openxmlformats.org/officeDocument/2006/relationships/hyperlink" Target="mailto:pabagunawardhana@gmail.com" TargetMode="External" Id="rId147" /><Relationship Type="http://schemas.openxmlformats.org/officeDocument/2006/relationships/hyperlink" Target="mailto:poorniidananjanaa01@gmail.com" TargetMode="External" Id="rId148" /><Relationship Type="http://schemas.openxmlformats.org/officeDocument/2006/relationships/hyperlink" Target="mailto:saravanaaravi218@gmail.com" TargetMode="External" Id="rId149" /><Relationship Type="http://schemas.openxmlformats.org/officeDocument/2006/relationships/hyperlink" Target="mailto:imanyaa18@gmail.com" TargetMode="External" Id="rId150" /><Relationship Type="http://schemas.openxmlformats.org/officeDocument/2006/relationships/hyperlink" Target="mailto:rumeshanisadi3002@gmail.com" TargetMode="External" Id="rId151" /><Relationship Type="http://schemas.openxmlformats.org/officeDocument/2006/relationships/hyperlink" Target="mailto:nipunisiriwardhana163@gmail.com" TargetMode="External" Id="rId152" /><Relationship Type="http://schemas.openxmlformats.org/officeDocument/2006/relationships/hyperlink" Target="mailto:minadipathirana2003@gmail.com" TargetMode="External" Id="rId153" /><Relationship Type="http://schemas.openxmlformats.org/officeDocument/2006/relationships/hyperlink" Target="mailto:hansikadulanjani223@gmail.com" TargetMode="External" Id="rId154" /><Relationship Type="http://schemas.openxmlformats.org/officeDocument/2006/relationships/hyperlink" Target="mailto:chanukaxnuwan@gmail.com" TargetMode="External" Id="rId155" /><Relationship Type="http://schemas.openxmlformats.org/officeDocument/2006/relationships/hyperlink" Target="mailto:isirapabasara123@gmail.com" TargetMode="External" Id="rId156" /><Relationship Type="http://schemas.openxmlformats.org/officeDocument/2006/relationships/hyperlink" Target="mailto:tharupathipinsara@gmail.com" TargetMode="External" Id="rId157" /><Relationship Type="http://schemas.openxmlformats.org/officeDocument/2006/relationships/hyperlink" Target="mailto:contact@supunkalhara.com" TargetMode="External" Id="rId158" /><Relationship Type="http://schemas.openxmlformats.org/officeDocument/2006/relationships/hyperlink" Target="mailto:yethmiijayaratne@gmail.com" TargetMode="External" Id="rId159" /><Relationship Type="http://schemas.openxmlformats.org/officeDocument/2006/relationships/hyperlink" Target="mailto:nivakaran@hotmail.com" TargetMode="External" Id="rId160" /><Relationship Type="http://schemas.openxmlformats.org/officeDocument/2006/relationships/hyperlink" Target="mailto:vonaraathukorala04@gmail.com" TargetMode="External" Id="rId161" /><Relationship Type="http://schemas.openxmlformats.org/officeDocument/2006/relationships/hyperlink" Target="mailto:amamig.gunathilake@gmail.com" TargetMode="External" Id="rId162" /><Relationship Type="http://schemas.openxmlformats.org/officeDocument/2006/relationships/hyperlink" Target="mailto:ronethbashana4@gmail.com" TargetMode="External" Id="rId163" /><Relationship Type="http://schemas.openxmlformats.org/officeDocument/2006/relationships/hyperlink" Target="mailto:muaathim22@gmail.com" TargetMode="External" Id="rId164" /><Relationship Type="http://schemas.openxmlformats.org/officeDocument/2006/relationships/hyperlink" Target="mailto:ishandilhara57@gmail.com" TargetMode="External" Id="rId165" /><Relationship Type="http://schemas.openxmlformats.org/officeDocument/2006/relationships/hyperlink" Target="mailto:chandimacbbandara@gmail.com" TargetMode="External" Id="rId166" /><Relationship Type="http://schemas.openxmlformats.org/officeDocument/2006/relationships/hyperlink" Target="mailto:gaveeshamadhushan15@gmail.com" TargetMode="External" Id="rId167" /><Relationship Type="http://schemas.openxmlformats.org/officeDocument/2006/relationships/hyperlink" Target="mailto:sishanhewa4@gmail.com" TargetMode="External" Id="rId168" /><Relationship Type="http://schemas.openxmlformats.org/officeDocument/2006/relationships/hyperlink" Target="mailto:it24100209@my.sliit.lk" TargetMode="External" Id="rId169" /><Relationship Type="http://schemas.openxmlformats.org/officeDocument/2006/relationships/hyperlink" Target="mailto:hansikahashini65@gmail.com" TargetMode="External" Id="rId170" /><Relationship Type="http://schemas.openxmlformats.org/officeDocument/2006/relationships/hyperlink" Target="mailto:manulacooray@gmail.com" TargetMode="External" Id="rId171" /><Relationship Type="http://schemas.openxmlformats.org/officeDocument/2006/relationships/hyperlink" Target="mailto:oshadhimanage@gmail.com" TargetMode="External" Id="rId172" /><Relationship Type="http://schemas.openxmlformats.org/officeDocument/2006/relationships/hyperlink" Target="mailto:maheennavoda04@gmail.com" TargetMode="External" Id="rId173" /><Relationship Type="http://schemas.openxmlformats.org/officeDocument/2006/relationships/hyperlink" Target="mailto:ranjulaadikari2004@gmail.com" TargetMode="External" Id="rId174" /><Relationship Type="http://schemas.openxmlformats.org/officeDocument/2006/relationships/hyperlink" Target="mailto:vaishkaru28@gmail.com" TargetMode="External" Id="rId175" /><Relationship Type="http://schemas.openxmlformats.org/officeDocument/2006/relationships/hyperlink" Target="mailto:pinithi0123ransara@gmail.com" TargetMode="External" Id="rId176" /><Relationship Type="http://schemas.openxmlformats.org/officeDocument/2006/relationships/hyperlink" Target="mailto:hashinisandeepa7@gmail.com" TargetMode="External" Id="rId177" /><Relationship Type="http://schemas.openxmlformats.org/officeDocument/2006/relationships/hyperlink" Target="mailto:kaveenhasanga@gmail.com" TargetMode="External" Id="rId178" /><Relationship Type="http://schemas.openxmlformats.org/officeDocument/2006/relationships/hyperlink" Target="mailto:pramudithamaheesha@gmail.com" TargetMode="External" Id="rId179" /><Relationship Type="http://schemas.openxmlformats.org/officeDocument/2006/relationships/hyperlink" Target="mailto:kalithdabare@gmail.com" TargetMode="External" Id="rId180" /><Relationship Type="http://schemas.openxmlformats.org/officeDocument/2006/relationships/hyperlink" Target="mailto:hrsrfernando.13@gmail.com" TargetMode="External" Id="rId181" /><Relationship Type="http://schemas.openxmlformats.org/officeDocument/2006/relationships/hyperlink" Target="mailto:nidhishansudharshan24@gmail.com" TargetMode="External" Id="rId182" /><Relationship Type="http://schemas.openxmlformats.org/officeDocument/2006/relationships/hyperlink" Target="mailto:thrishor05@gmail.com" TargetMode="External" Id="rId183" /><Relationship Type="http://schemas.openxmlformats.org/officeDocument/2006/relationships/hyperlink" Target="mailto:matheeshapansilu44@gmail.com" TargetMode="External" Id="rId184" /><Relationship Type="http://schemas.openxmlformats.org/officeDocument/2006/relationships/hyperlink" Target="mailto:sugumarsadurshan@gmail.com" TargetMode="External" Id="rId185" /><Relationship Type="http://schemas.openxmlformats.org/officeDocument/2006/relationships/hyperlink" Target="mailto:jeyakumardanishiyan2004@gmail.com" TargetMode="External" Id="rId186" /><Relationship Type="http://schemas.openxmlformats.org/officeDocument/2006/relationships/hyperlink" Target="mailto:it24610781@my.sliit.lk" TargetMode="External" Id="rId187" /><Relationship Type="http://schemas.openxmlformats.org/officeDocument/2006/relationships/hyperlink" Target="mailto:abdullahbinalhar@gmail.com" TargetMode="External" Id="rId188" /><Relationship Type="http://schemas.openxmlformats.org/officeDocument/2006/relationships/hyperlink" Target="mailto:it24104321@my.sliit.lk" TargetMode="External" Id="rId189" /><Relationship Type="http://schemas.openxmlformats.org/officeDocument/2006/relationships/hyperlink" Target="mailto:inukamethum@gmail.com" TargetMode="External" Id="rId190" /><Relationship Type="http://schemas.openxmlformats.org/officeDocument/2006/relationships/hyperlink" Target="mailto:dohanimanjith21@gmail.com" TargetMode="External" Id="rId191" /><Relationship Type="http://schemas.openxmlformats.org/officeDocument/2006/relationships/hyperlink" Target="mailto:buddhimasandaru@gmail.com" TargetMode="External" Id="rId192" /><Relationship Type="http://schemas.openxmlformats.org/officeDocument/2006/relationships/hyperlink" Target="mailto:sedararansiluni01@gmail.com" TargetMode="External" Id="rId193" /><Relationship Type="http://schemas.openxmlformats.org/officeDocument/2006/relationships/hyperlink" Target="mailto:amashithathsarani025@gmail.com" TargetMode="External" Id="rId194" /><Relationship Type="http://schemas.openxmlformats.org/officeDocument/2006/relationships/hyperlink" Target="mailto:en25300563@my.sliit.lk" TargetMode="External" Id="rId195" /><Relationship Type="http://schemas.openxmlformats.org/officeDocument/2006/relationships/hyperlink" Target="mailto:vishakarajapaksha97@gmail.com" TargetMode="External" Id="rId196" /><Relationship Type="http://schemas.openxmlformats.org/officeDocument/2006/relationships/hyperlink" Target="mailto:isuruudanapinthu@gmail.com" TargetMode="External" Id="rId197" /><Relationship Type="http://schemas.openxmlformats.org/officeDocument/2006/relationships/hyperlink" Target="mailto:ashvithan9@gmail.com" TargetMode="External" Id="rId198" /><Relationship Type="http://schemas.openxmlformats.org/officeDocument/2006/relationships/hyperlink" Target="mailto:it24100781@my.sliit.lk" TargetMode="External" Id="rId199" /><Relationship Type="http://schemas.openxmlformats.org/officeDocument/2006/relationships/hyperlink" Target="mailto:archayanmahendran@gmail.com" TargetMode="External" Id="rId200" /><Relationship Type="http://schemas.openxmlformats.org/officeDocument/2006/relationships/hyperlink" Target="mailto:ahzanahzan257@gmail.com" TargetMode="External" Id="rId201" /><Relationship Type="http://schemas.openxmlformats.org/officeDocument/2006/relationships/hyperlink" Target="mailto:m.abilash2006@gmail.com" TargetMode="External" Id="rId202" /><Relationship Type="http://schemas.openxmlformats.org/officeDocument/2006/relationships/hyperlink" Target="mailto:gaveshbimsara2002@gmail.com" TargetMode="External" Id="rId203" /><Relationship Type="http://schemas.openxmlformats.org/officeDocument/2006/relationships/hyperlink" Target="mailto:amayarajapaksha001@gmail.com" TargetMode="External" Id="rId204" /><Relationship Type="http://schemas.openxmlformats.org/officeDocument/2006/relationships/hyperlink" Target="mailto:swethabandara77@gmail.com" TargetMode="External" Id="rId205" /><Relationship Type="http://schemas.openxmlformats.org/officeDocument/2006/relationships/table" Target="/xl/tables/table2.xml" Id="rId206" /></Relationships>
</file>

<file path=xl/worksheets/sheet1.xml><?xml version="1.0" encoding="utf-8"?>
<worksheet xmlns="http://schemas.openxmlformats.org/spreadsheetml/2006/main">
  <sheetPr>
    <outlinePr summaryBelow="0" summaryRight="0"/>
    <pageSetUpPr/>
  </sheetPr>
  <dimension ref="A1:G25"/>
  <sheetViews>
    <sheetView workbookViewId="0">
      <selection activeCell="A1" sqref="A1"/>
    </sheetView>
  </sheetViews>
  <sheetFormatPr baseColWidth="8" defaultColWidth="14.43" defaultRowHeight="15.75" customHeight="1"/>
  <cols>
    <col width="33" customWidth="1" style="108" min="3" max="3"/>
    <col width="20.57" customWidth="1" style="108" min="6" max="6"/>
    <col width="38" customWidth="1" style="108" min="7" max="7"/>
  </cols>
  <sheetData>
    <row r="1">
      <c r="A1" s="1" t="inlineStr">
        <is>
          <t>First Name</t>
        </is>
      </c>
      <c r="B1" s="1" t="inlineStr">
        <is>
          <t>Last Name</t>
        </is>
      </c>
      <c r="C1" s="1" t="inlineStr">
        <is>
          <t>Degree Program</t>
        </is>
      </c>
      <c r="D1" s="1" t="inlineStr">
        <is>
          <t>Year</t>
        </is>
      </c>
      <c r="E1" s="1" t="inlineStr">
        <is>
          <t>NIC</t>
        </is>
      </c>
      <c r="F1" s="1" t="inlineStr">
        <is>
          <t>Mobile No.</t>
        </is>
      </c>
      <c r="G1" s="1" t="inlineStr">
        <is>
          <t>Email</t>
        </is>
      </c>
    </row>
    <row r="2">
      <c r="A2" s="2" t="inlineStr">
        <is>
          <t>Dinuka</t>
        </is>
      </c>
      <c r="B2" s="2" t="inlineStr">
        <is>
          <t>Nirman</t>
        </is>
      </c>
      <c r="C2" s="2" t="inlineStr">
        <is>
          <t>BSc. in Mechatronic Engineering</t>
        </is>
      </c>
      <c r="D2" s="2" t="inlineStr">
        <is>
          <t>3rd Year</t>
        </is>
      </c>
      <c r="E2" s="2" t="n">
        <v>200214300787</v>
      </c>
      <c r="F2" s="2" t="n">
        <v>721741038</v>
      </c>
      <c r="G2" s="2" t="inlineStr">
        <is>
          <t>adv.dinuka@gmail.com</t>
        </is>
      </c>
    </row>
    <row r="3">
      <c r="A3" s="2" t="inlineStr">
        <is>
          <t>Yasiru</t>
        </is>
      </c>
      <c r="B3" s="2" t="inlineStr">
        <is>
          <t>Vitharanage</t>
        </is>
      </c>
      <c r="C3" s="2" t="inlineStr">
        <is>
          <t>BSc. in Electronics Engineering</t>
        </is>
      </c>
      <c r="D3" s="2" t="inlineStr">
        <is>
          <t>3rd Year</t>
        </is>
      </c>
      <c r="E3" s="2" t="n">
        <v>200517404859</v>
      </c>
      <c r="F3" s="2" t="n">
        <v>777213372</v>
      </c>
      <c r="G3" s="2" t="inlineStr">
        <is>
          <t>yasiruvitharanage@gmail.com</t>
        </is>
      </c>
    </row>
    <row r="4">
      <c r="A4" s="2" t="inlineStr">
        <is>
          <t>Savinath</t>
        </is>
      </c>
      <c r="B4" s="2" t="inlineStr">
        <is>
          <t>Udawaththa</t>
        </is>
      </c>
      <c r="C4" s="2" t="inlineStr">
        <is>
          <t>BSc. in Electronics Engineering</t>
        </is>
      </c>
      <c r="D4" s="2" t="inlineStr">
        <is>
          <t>3rd Year</t>
        </is>
      </c>
      <c r="E4" s="2" t="n">
        <v>200112400637</v>
      </c>
      <c r="F4" s="2" t="n">
        <v>767653620</v>
      </c>
      <c r="G4" s="2" t="inlineStr">
        <is>
          <t>udawaththasavinath@gmail.com</t>
        </is>
      </c>
    </row>
    <row r="5">
      <c r="A5" s="2" t="inlineStr">
        <is>
          <t>Dakshina</t>
        </is>
      </c>
      <c r="B5" s="2" t="inlineStr">
        <is>
          <t>Yasiru Perera</t>
        </is>
      </c>
      <c r="C5" s="2" t="inlineStr">
        <is>
          <t>BSc. in Electronics Engineering</t>
        </is>
      </c>
      <c r="D5" s="2" t="inlineStr">
        <is>
          <t>3rd Year</t>
        </is>
      </c>
      <c r="E5" s="2" t="n">
        <v>200207504228</v>
      </c>
      <c r="F5" s="2" t="n">
        <v>763824927</v>
      </c>
      <c r="G5" s="2" t="inlineStr">
        <is>
          <t>dakshinayasi@gmail.com</t>
        </is>
      </c>
    </row>
    <row r="6">
      <c r="A6" s="2" t="inlineStr">
        <is>
          <t>Mandira</t>
        </is>
      </c>
      <c r="B6" s="2" t="inlineStr">
        <is>
          <t>Polgampala</t>
        </is>
      </c>
      <c r="C6" s="2" t="inlineStr">
        <is>
          <t>BSc. in Electronics Engineering</t>
        </is>
      </c>
      <c r="D6" s="2" t="inlineStr">
        <is>
          <t>3rd Year</t>
        </is>
      </c>
      <c r="E6" s="2" t="n">
        <v>200263903359</v>
      </c>
      <c r="F6" s="2" t="n">
        <v>767771382</v>
      </c>
      <c r="G6" s="2" t="inlineStr">
        <is>
          <t>mandirapmh@gmail.com</t>
        </is>
      </c>
    </row>
    <row r="7">
      <c r="A7" s="2" t="inlineStr">
        <is>
          <t>Kasun</t>
        </is>
      </c>
      <c r="B7" s="2" t="inlineStr">
        <is>
          <t>Bandara</t>
        </is>
      </c>
      <c r="C7" s="2" t="inlineStr">
        <is>
          <t>BSc. in Mechanical Engineering</t>
        </is>
      </c>
      <c r="D7" s="2" t="inlineStr">
        <is>
          <t>3rd Year</t>
        </is>
      </c>
      <c r="E7" s="2" t="n">
        <v>200215002486</v>
      </c>
      <c r="F7" s="2" t="n">
        <v>781688315</v>
      </c>
      <c r="G7" s="2" t="inlineStr">
        <is>
          <t>kasunvimukthiba000@gmail.com</t>
        </is>
      </c>
    </row>
    <row r="8">
      <c r="A8" s="2" t="inlineStr">
        <is>
          <t>Sethum</t>
        </is>
      </c>
      <c r="B8" s="2" t="inlineStr">
        <is>
          <t>Dilmith</t>
        </is>
      </c>
      <c r="C8" s="2" t="inlineStr">
        <is>
          <t>BSc. in Mechanical Engineering</t>
        </is>
      </c>
      <c r="D8" s="2" t="inlineStr">
        <is>
          <t>3rd Year</t>
        </is>
      </c>
      <c r="E8" s="2" t="n">
        <v>200322712736</v>
      </c>
      <c r="F8" s="2" t="n">
        <v>757643006</v>
      </c>
      <c r="G8" s="2" t="inlineStr">
        <is>
          <t>sethumd2003@gmail.com</t>
        </is>
      </c>
    </row>
    <row r="9">
      <c r="A9" s="2" t="inlineStr">
        <is>
          <t>Pamith</t>
        </is>
      </c>
      <c r="B9" s="2" t="inlineStr">
        <is>
          <t>Adikari</t>
        </is>
      </c>
      <c r="C9" s="2" t="inlineStr">
        <is>
          <t>BSc. in Mechatronic Engineering</t>
        </is>
      </c>
      <c r="D9" s="2" t="inlineStr">
        <is>
          <t>3rd Year</t>
        </is>
      </c>
      <c r="E9" s="2" t="n">
        <v>200211503287</v>
      </c>
      <c r="F9" s="2" t="n">
        <v>718963821</v>
      </c>
      <c r="G9" s="2" t="inlineStr">
        <is>
          <t>pamithdulkith2002@gmail.com</t>
        </is>
      </c>
    </row>
    <row r="10">
      <c r="A10" s="2" t="inlineStr">
        <is>
          <t>Prabha</t>
        </is>
      </c>
      <c r="B10" s="2" t="inlineStr">
        <is>
          <t>Harankahadeniya</t>
        </is>
      </c>
      <c r="C10" s="2" t="inlineStr">
        <is>
          <t>BSc. in Electronics Engineering</t>
        </is>
      </c>
      <c r="D10" s="2" t="inlineStr">
        <is>
          <t>3rd Year</t>
        </is>
      </c>
      <c r="E10" s="2" t="n">
        <v>200375510050</v>
      </c>
      <c r="F10" s="2" t="n">
        <v>715433156</v>
      </c>
      <c r="G10" s="2" t="inlineStr">
        <is>
          <t>prabhaharankahadeniya911@gmail.com</t>
        </is>
      </c>
    </row>
    <row r="11">
      <c r="A11" s="2" t="inlineStr">
        <is>
          <t>Manav</t>
        </is>
      </c>
      <c r="B11" s="2" t="inlineStr">
        <is>
          <t>Siriwardane</t>
        </is>
      </c>
      <c r="C11" s="2" t="inlineStr">
        <is>
          <t>BSc. in Electronics Engineering</t>
        </is>
      </c>
      <c r="D11" s="2" t="inlineStr">
        <is>
          <t>3rd Year</t>
        </is>
      </c>
      <c r="E11" s="2" t="n">
        <v>200532201462</v>
      </c>
      <c r="F11" s="2" t="n">
        <v>768366946</v>
      </c>
      <c r="G11" s="2" t="inlineStr">
        <is>
          <t>sirimanav123@gmail.com</t>
        </is>
      </c>
    </row>
    <row r="12">
      <c r="A12" s="2" t="inlineStr">
        <is>
          <t>Binuka</t>
        </is>
      </c>
      <c r="B12" s="2" t="inlineStr">
        <is>
          <t>Weerawardhana</t>
        </is>
      </c>
      <c r="C12" s="2" t="inlineStr">
        <is>
          <t>BSc. in Electronics Engineering</t>
        </is>
      </c>
      <c r="D12" s="2" t="inlineStr">
        <is>
          <t>2nd Year</t>
        </is>
      </c>
      <c r="E12" s="2" t="n">
        <v>200632705382</v>
      </c>
      <c r="F12" s="2" t="n">
        <v>702310016</v>
      </c>
      <c r="G12" s="2" t="inlineStr">
        <is>
          <t>inukadamhiruweerawardhana@gmail.com</t>
        </is>
      </c>
    </row>
    <row r="13">
      <c r="A13" s="2" t="inlineStr">
        <is>
          <t>Sanjuka</t>
        </is>
      </c>
      <c r="B13" s="2" t="inlineStr">
        <is>
          <t>KGS</t>
        </is>
      </c>
      <c r="C13" s="2" t="inlineStr">
        <is>
          <t>BSc. in Electronics Engineering</t>
        </is>
      </c>
      <c r="D13" s="2" t="inlineStr">
        <is>
          <t>4th Year</t>
        </is>
      </c>
      <c r="E13" s="2" t="n">
        <v>200007001209</v>
      </c>
      <c r="F13" s="2" t="n">
        <v>789572460</v>
      </c>
      <c r="G13" s="2" t="inlineStr">
        <is>
          <t>sachith.sanjuka2000@gmail.com</t>
        </is>
      </c>
    </row>
    <row r="14">
      <c r="A14" s="2" t="inlineStr">
        <is>
          <t>Chamod</t>
        </is>
      </c>
      <c r="B14" s="2" t="inlineStr">
        <is>
          <t>Gunarathna</t>
        </is>
      </c>
      <c r="C14" s="2" t="inlineStr">
        <is>
          <t>BSc. in Electronics Engineering</t>
        </is>
      </c>
      <c r="D14" s="2" t="inlineStr">
        <is>
          <t>4th Year</t>
        </is>
      </c>
      <c r="E14" s="2" t="n">
        <v>200106901600</v>
      </c>
      <c r="F14" s="2" t="n">
        <v>719343364</v>
      </c>
      <c r="G14" s="2" t="inlineStr">
        <is>
          <t>chamodshyamal12@gmail.com</t>
        </is>
      </c>
    </row>
    <row r="15">
      <c r="A15" s="2" t="inlineStr">
        <is>
          <t>Imeth</t>
        </is>
      </c>
      <c r="B15" s="2" t="inlineStr">
        <is>
          <t>Wijesekara</t>
        </is>
      </c>
      <c r="C15" s="2" t="inlineStr">
        <is>
          <t>BSc. in Electronics Engineering</t>
        </is>
      </c>
      <c r="D15" s="2" t="inlineStr">
        <is>
          <t>4th Year</t>
        </is>
      </c>
      <c r="E15" s="2" t="n">
        <v>200135302627</v>
      </c>
      <c r="F15" s="2" t="n">
        <v>774866592</v>
      </c>
      <c r="G15" s="2" t="inlineStr">
        <is>
          <t>randinuimeth@gmail.com</t>
        </is>
      </c>
    </row>
    <row r="16">
      <c r="A16" s="2" t="inlineStr">
        <is>
          <t>Oshini</t>
        </is>
      </c>
      <c r="B16" s="2" t="inlineStr">
        <is>
          <t>Jagoda</t>
        </is>
      </c>
      <c r="C16" s="2" t="inlineStr">
        <is>
          <t>BSc. in Electronics Engineering</t>
        </is>
      </c>
      <c r="D16" s="2" t="inlineStr">
        <is>
          <t>4th Year</t>
        </is>
      </c>
      <c r="E16" s="2" t="n">
        <v>200166001549</v>
      </c>
      <c r="F16" s="2" t="n">
        <v>786568796</v>
      </c>
      <c r="G16" s="2" t="inlineStr">
        <is>
          <t>oshinijagoda@gmail.com</t>
        </is>
      </c>
    </row>
    <row r="17">
      <c r="A17" s="2" t="inlineStr">
        <is>
          <t>Chathumina</t>
        </is>
      </c>
      <c r="B17" s="2" t="inlineStr">
        <is>
          <t>Kalatuwage</t>
        </is>
      </c>
      <c r="C17" s="2" t="inlineStr">
        <is>
          <t>BSc. in Mechatronic Engineering</t>
        </is>
      </c>
      <c r="D17" s="2" t="inlineStr">
        <is>
          <t>3rd Year</t>
        </is>
      </c>
      <c r="E17" s="2" t="n">
        <v>200328414721</v>
      </c>
      <c r="F17" s="2" t="n">
        <v>721270234</v>
      </c>
      <c r="G17" s="2" t="inlineStr">
        <is>
          <t>chathumina@ieee.org</t>
        </is>
      </c>
    </row>
    <row r="18">
      <c r="A18" s="2" t="inlineStr">
        <is>
          <t>Senethmi</t>
        </is>
      </c>
      <c r="B18" s="2" t="inlineStr">
        <is>
          <t>Wickramanayake</t>
        </is>
      </c>
      <c r="C18" s="2" t="inlineStr">
        <is>
          <t>BSc. in Mechatronic Engineering</t>
        </is>
      </c>
      <c r="D18" s="2" t="inlineStr">
        <is>
          <t>3rd Year</t>
        </is>
      </c>
      <c r="E18" s="2" t="n">
        <v>200261602241</v>
      </c>
      <c r="F18" s="2" t="n">
        <v>717144188</v>
      </c>
      <c r="G18" s="2" t="inlineStr">
        <is>
          <t>senewicks@gmail.com</t>
        </is>
      </c>
    </row>
    <row r="19">
      <c r="A19" s="2" t="inlineStr">
        <is>
          <t>Gathsara</t>
        </is>
      </c>
      <c r="B19" s="2" t="inlineStr">
        <is>
          <t>Gunasinghe</t>
        </is>
      </c>
      <c r="C19" s="2" t="inlineStr">
        <is>
          <t>BSc. in Electronics Engineering</t>
        </is>
      </c>
      <c r="D19" s="2" t="inlineStr">
        <is>
          <t>3rd Year</t>
        </is>
      </c>
      <c r="E19" s="2" t="n">
        <v>200333400112</v>
      </c>
      <c r="F19" s="2" t="n">
        <v>768932606</v>
      </c>
      <c r="G19" s="2" t="inlineStr">
        <is>
          <t>gathsaragunasinghe606@gmail.com</t>
        </is>
      </c>
    </row>
    <row r="20">
      <c r="A20" s="2" t="inlineStr">
        <is>
          <t>Senith</t>
        </is>
      </c>
      <c r="B20" s="2" t="inlineStr">
        <is>
          <t>Munasinghe</t>
        </is>
      </c>
      <c r="C20" s="2" t="inlineStr">
        <is>
          <t>BSc. in Mechatronic Engineering</t>
        </is>
      </c>
      <c r="D20" s="2" t="inlineStr">
        <is>
          <t>3rd Year</t>
        </is>
      </c>
      <c r="E20" s="2" t="n">
        <v>200306401162</v>
      </c>
      <c r="F20" s="2" t="n">
        <v>766922989</v>
      </c>
      <c r="G20" s="2" t="inlineStr">
        <is>
          <t>en23696310@my.sliit.lk</t>
        </is>
      </c>
    </row>
    <row r="21">
      <c r="A21" s="2" t="inlineStr">
        <is>
          <t>Parami</t>
        </is>
      </c>
      <c r="B21" s="2" t="inlineStr">
        <is>
          <t>Wijesundara</t>
        </is>
      </c>
      <c r="C21" s="2" t="inlineStr">
        <is>
          <t>BSc. in Mechatronic Engineering</t>
        </is>
      </c>
      <c r="D21" s="2" t="inlineStr">
        <is>
          <t>3rd Year</t>
        </is>
      </c>
      <c r="E21" s="2" t="n">
        <v>200451110077</v>
      </c>
      <c r="F21" s="2" t="n">
        <v>767309678</v>
      </c>
      <c r="G21" s="2" t="inlineStr">
        <is>
          <t>wijesundaraparami121@gmail.com</t>
        </is>
      </c>
    </row>
    <row r="22">
      <c r="A22" s="2" t="inlineStr">
        <is>
          <t>Sehansa</t>
        </is>
      </c>
      <c r="B22" s="2" t="inlineStr">
        <is>
          <t>Welihinda</t>
        </is>
      </c>
      <c r="C22" s="2" t="inlineStr">
        <is>
          <t>BSc. in Mechanical Engineering</t>
        </is>
      </c>
      <c r="D22" s="2" t="inlineStr">
        <is>
          <t>3rd Year</t>
        </is>
      </c>
      <c r="E22" s="2" t="n">
        <v>200372100728</v>
      </c>
      <c r="F22" s="2" t="n">
        <v>768086696</v>
      </c>
      <c r="G22" s="2" t="inlineStr">
        <is>
          <t>sehansawelihinda@gmail.com</t>
        </is>
      </c>
    </row>
    <row r="23">
      <c r="A23" s="2" t="inlineStr">
        <is>
          <t>Samadhi</t>
        </is>
      </c>
      <c r="B23" s="2" t="inlineStr">
        <is>
          <t>Madumali</t>
        </is>
      </c>
      <c r="C23" s="2" t="inlineStr">
        <is>
          <t>BSc. in Mechanical Engineering</t>
        </is>
      </c>
      <c r="D23" s="2" t="inlineStr">
        <is>
          <t>3rd Year</t>
        </is>
      </c>
      <c r="E23" s="2" t="n">
        <v>200378112801</v>
      </c>
      <c r="F23" s="2" t="n">
        <v>764598972</v>
      </c>
      <c r="G23" s="2" t="inlineStr">
        <is>
          <t>samadimadumali125@gmail.com</t>
        </is>
      </c>
    </row>
    <row r="24">
      <c r="A24" s="2" t="inlineStr">
        <is>
          <t>Hansi</t>
        </is>
      </c>
      <c r="B24" s="2" t="inlineStr">
        <is>
          <t>Fernando</t>
        </is>
      </c>
      <c r="C24" s="2" t="inlineStr">
        <is>
          <t>BSc. in Mechatronic Engineering</t>
        </is>
      </c>
      <c r="D24" s="2" t="inlineStr">
        <is>
          <t>3rd Year</t>
        </is>
      </c>
      <c r="E24" s="2" t="n">
        <v>200351102729</v>
      </c>
      <c r="F24" s="2" t="n">
        <v>774358800</v>
      </c>
      <c r="G24" s="2" t="inlineStr">
        <is>
          <t>EN24030144@my.sliit.lk</t>
        </is>
      </c>
    </row>
    <row r="25">
      <c r="A25" s="2" t="inlineStr">
        <is>
          <t>Keshan</t>
        </is>
      </c>
      <c r="B25" s="2" t="inlineStr">
        <is>
          <t>Dias</t>
        </is>
      </c>
      <c r="C25" s="2" t="inlineStr">
        <is>
          <t>BSc. in Mechanical Engineering</t>
        </is>
      </c>
      <c r="D25" s="2" t="inlineStr">
        <is>
          <t>4th Year</t>
        </is>
      </c>
      <c r="E25" s="2" t="n">
        <v>200111002595</v>
      </c>
      <c r="F25" s="2" t="n">
        <v>784566471</v>
      </c>
      <c r="G25" s="2" t="inlineStr">
        <is>
          <t>en22185334@my.sliit.lk</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51"/>
  <sheetViews>
    <sheetView workbookViewId="0">
      <selection activeCell="A1" sqref="A1"/>
    </sheetView>
  </sheetViews>
  <sheetFormatPr baseColWidth="8" defaultColWidth="14.43" defaultRowHeight="15.75" customHeight="1"/>
  <sheetData>
    <row r="1">
      <c r="A1" s="4" t="inlineStr">
        <is>
          <t>No.</t>
        </is>
      </c>
      <c r="B1" s="4" t="inlineStr">
        <is>
          <t>Name</t>
        </is>
      </c>
      <c r="C1" s="4" t="inlineStr">
        <is>
          <t>Phone Number</t>
        </is>
      </c>
      <c r="D1" s="4" t="inlineStr">
        <is>
          <t>Email</t>
        </is>
      </c>
      <c r="E1" s="4" t="inlineStr">
        <is>
          <t>NIC</t>
        </is>
      </c>
      <c r="F1" s="4" t="inlineStr">
        <is>
          <t>Gender</t>
        </is>
      </c>
    </row>
    <row r="2">
      <c r="A2" s="4" t="n">
        <v>1</v>
      </c>
      <c r="B2" s="4" t="inlineStr">
        <is>
          <t>M M Saadhath Ahmed</t>
        </is>
      </c>
      <c r="C2" s="4" t="n">
        <v>719499508</v>
      </c>
      <c r="D2" s="4" t="inlineStr">
        <is>
          <t>saadhathxlr8@gmail.com</t>
        </is>
      </c>
      <c r="E2" s="4" t="n">
        <v>200228602362</v>
      </c>
      <c r="F2" s="4" t="inlineStr">
        <is>
          <t>Male</t>
        </is>
      </c>
    </row>
    <row r="3">
      <c r="A3" s="4" t="n">
        <v>2</v>
      </c>
      <c r="B3" s="4" t="inlineStr">
        <is>
          <t>Dinuki Gunawardana</t>
        </is>
      </c>
      <c r="C3" s="4">
        <f>+94 70 599 1020</f>
        <v/>
      </c>
      <c r="D3" s="4" t="inlineStr">
        <is>
          <t>dinukig13@gmail.com</t>
        </is>
      </c>
      <c r="E3" s="4" t="n">
        <v>200275700890</v>
      </c>
      <c r="F3" s="4" t="inlineStr">
        <is>
          <t>Female</t>
        </is>
      </c>
    </row>
    <row r="4">
      <c r="A4" s="4" t="n">
        <v>3</v>
      </c>
      <c r="B4" s="4" t="inlineStr">
        <is>
          <t>Vidara Karannagoda</t>
        </is>
      </c>
      <c r="C4" s="4">
        <f>+94 76 423 1685</f>
        <v/>
      </c>
      <c r="D4" s="4" t="inlineStr">
        <is>
          <t>ransiluni.2002@gmail.com</t>
        </is>
      </c>
      <c r="E4" s="4" t="n">
        <v>200277102563</v>
      </c>
      <c r="F4" s="4" t="inlineStr">
        <is>
          <t>Female</t>
        </is>
      </c>
    </row>
    <row r="5">
      <c r="A5" s="4" t="n">
        <v>4</v>
      </c>
      <c r="B5" s="4" t="inlineStr">
        <is>
          <t>Shenali Fernando</t>
        </is>
      </c>
      <c r="C5" s="4">
        <f>+94 76 007 7247</f>
        <v/>
      </c>
      <c r="D5" s="4" t="inlineStr">
        <is>
          <t>shenalifernando856@gmail.com</t>
        </is>
      </c>
      <c r="E5" s="4" t="n">
        <v>200379400572</v>
      </c>
      <c r="F5" s="4" t="inlineStr">
        <is>
          <t>Female</t>
        </is>
      </c>
    </row>
    <row r="6">
      <c r="A6" s="4" t="n">
        <v>5</v>
      </c>
      <c r="B6" s="4" t="inlineStr">
        <is>
          <t>Supundi Rashmini Wijesingha</t>
        </is>
      </c>
      <c r="C6" s="4" t="n">
        <v>701656600</v>
      </c>
      <c r="D6" s="4" t="inlineStr">
        <is>
          <t>supundirashmini200311@gmail.com</t>
        </is>
      </c>
      <c r="E6" s="4" t="n">
        <v>200380811606</v>
      </c>
      <c r="F6" s="4" t="inlineStr">
        <is>
          <t>Female</t>
        </is>
      </c>
    </row>
    <row r="7">
      <c r="A7" s="4" t="n">
        <v>6</v>
      </c>
      <c r="B7" s="4" t="inlineStr">
        <is>
          <t>Manith Gamage</t>
        </is>
      </c>
      <c r="C7" s="4">
        <f>+94 76 042 9021</f>
        <v/>
      </c>
      <c r="D7" s="4" t="inlineStr">
        <is>
          <t>manithsgamage@gmail.com</t>
        </is>
      </c>
      <c r="E7" s="4" t="n">
        <v>200513800121</v>
      </c>
      <c r="F7" s="4" t="inlineStr">
        <is>
          <t>Male</t>
        </is>
      </c>
    </row>
    <row r="8">
      <c r="A8" s="4" t="n">
        <v>7</v>
      </c>
      <c r="B8" s="4" t="inlineStr">
        <is>
          <t>W.M. Nimnadi Dulwanya</t>
        </is>
      </c>
      <c r="C8" s="4" t="n">
        <v>705706357</v>
      </c>
      <c r="D8" s="4" t="inlineStr">
        <is>
          <t>nimnadi.01@gmail.com</t>
        </is>
      </c>
      <c r="E8" s="4" t="n">
        <v>200270702564</v>
      </c>
      <c r="F8" s="4" t="inlineStr">
        <is>
          <t>Female</t>
        </is>
      </c>
    </row>
    <row r="9">
      <c r="A9" s="4" t="n">
        <v>8</v>
      </c>
      <c r="B9" s="4" t="inlineStr">
        <is>
          <t>Shageeshan</t>
        </is>
      </c>
      <c r="C9" s="4" t="n">
        <v>771089061</v>
      </c>
      <c r="D9" s="4" t="inlineStr">
        <is>
          <t>shageejoxtyn@gmail.com</t>
        </is>
      </c>
      <c r="E9" s="4" t="n">
        <v>200423302190</v>
      </c>
      <c r="F9" s="4" t="inlineStr">
        <is>
          <t>Male</t>
        </is>
      </c>
    </row>
    <row r="10">
      <c r="A10" s="4" t="n">
        <v>9</v>
      </c>
      <c r="B10" s="4" t="inlineStr">
        <is>
          <t>Sahnas Thufail</t>
        </is>
      </c>
      <c r="C10" s="4" t="n">
        <v>716633585</v>
      </c>
      <c r="D10" s="4" t="inlineStr">
        <is>
          <t>sahnasthufail@gmail.com</t>
        </is>
      </c>
      <c r="E10" s="4" t="n">
        <v>200284603184</v>
      </c>
      <c r="F10" s="4" t="inlineStr">
        <is>
          <t>Female</t>
        </is>
      </c>
    </row>
    <row r="11">
      <c r="A11" s="4" t="n">
        <v>10</v>
      </c>
      <c r="B11" s="4" t="inlineStr">
        <is>
          <t>Shehani Lakshika Chandrakumar</t>
        </is>
      </c>
      <c r="C11" s="4">
        <f>+94 76 276 8427</f>
        <v/>
      </c>
      <c r="D11" s="4" t="inlineStr">
        <is>
          <t>shehanilakshika304@gmail.com</t>
        </is>
      </c>
      <c r="E11" s="4" t="n">
        <v>200460700270</v>
      </c>
      <c r="F11" s="4" t="inlineStr">
        <is>
          <t>Female</t>
        </is>
      </c>
    </row>
    <row r="12">
      <c r="A12" s="4" t="n">
        <v>11</v>
      </c>
      <c r="B12" s="4" t="inlineStr">
        <is>
          <t>Abdul Rasheed Ajeemuzzan</t>
        </is>
      </c>
      <c r="C12" s="4">
        <f>+94 77 049 0630</f>
        <v/>
      </c>
      <c r="D12" s="4" t="inlineStr">
        <is>
          <t>ajeesk07@gmail.com</t>
        </is>
      </c>
      <c r="E12" s="4" t="n">
        <v>200311612449</v>
      </c>
      <c r="F12" s="4" t="inlineStr">
        <is>
          <t>Male</t>
        </is>
      </c>
    </row>
    <row r="13">
      <c r="A13" s="4" t="n">
        <v>12</v>
      </c>
      <c r="B13" s="4" t="inlineStr">
        <is>
          <t>G.K. Janudi Onethra De Silva</t>
        </is>
      </c>
      <c r="C13" s="4" t="n">
        <v>766807309</v>
      </c>
      <c r="D13" s="4" t="inlineStr">
        <is>
          <t>onethrajanu2003@gmail.com</t>
        </is>
      </c>
      <c r="E13" s="4" t="n">
        <v>200385312837</v>
      </c>
      <c r="F13" s="4" t="inlineStr">
        <is>
          <t>Female</t>
        </is>
      </c>
    </row>
    <row r="14">
      <c r="A14" s="4" t="n">
        <v>13</v>
      </c>
      <c r="B14" s="4" t="inlineStr">
        <is>
          <t>Tharaka Hashan Thilakarathne</t>
        </is>
      </c>
      <c r="C14" s="4">
        <f>+94 72 835 0607</f>
        <v/>
      </c>
      <c r="D14" s="4" t="inlineStr">
        <is>
          <t>thilakarathneskth@gmail.com</t>
        </is>
      </c>
      <c r="E14" s="4" t="n">
        <v>200305300832</v>
      </c>
      <c r="F14" s="4" t="inlineStr">
        <is>
          <t>Male</t>
        </is>
      </c>
    </row>
    <row r="15">
      <c r="A15" s="4" t="n">
        <v>14</v>
      </c>
      <c r="B15" s="4" t="inlineStr">
        <is>
          <t>Weerasinghe N.A.W.R.N.W</t>
        </is>
      </c>
      <c r="C15" s="4" t="n">
        <v>727250101</v>
      </c>
      <c r="D15" s="4" t="inlineStr">
        <is>
          <t>it24103687@my.sliit.lk</t>
        </is>
      </c>
      <c r="E15" s="4" t="n">
        <v>200477805087</v>
      </c>
      <c r="F15" s="4" t="inlineStr">
        <is>
          <t>Female</t>
        </is>
      </c>
    </row>
    <row r="16">
      <c r="A16" s="4" t="n">
        <v>15</v>
      </c>
      <c r="B16" s="4" t="inlineStr">
        <is>
          <t>Kaveesha Rajapaksha</t>
        </is>
      </c>
      <c r="C16" s="4" t="n">
        <v>768014423</v>
      </c>
      <c r="D16" s="4" t="inlineStr">
        <is>
          <t>kaveesharajapaksha77@gmail.com</t>
        </is>
      </c>
      <c r="E16" s="4" t="n">
        <v>200373311960</v>
      </c>
      <c r="F16" s="4" t="inlineStr">
        <is>
          <t>Female</t>
        </is>
      </c>
    </row>
    <row r="17">
      <c r="A17" s="4" t="n">
        <v>16</v>
      </c>
      <c r="B17" s="4" t="inlineStr">
        <is>
          <t>Yehani Nethmini Jayasuriya</t>
        </is>
      </c>
      <c r="C17" s="4" t="n">
        <v>704093176</v>
      </c>
      <c r="D17" s="4" t="inlineStr">
        <is>
          <t>yehaninethmini92@gmail.com</t>
        </is>
      </c>
      <c r="E17" s="4" t="n">
        <v>200473802594</v>
      </c>
      <c r="F17" s="4" t="inlineStr">
        <is>
          <t>Female</t>
        </is>
      </c>
    </row>
    <row r="18">
      <c r="A18" s="4" t="n">
        <v>17</v>
      </c>
      <c r="B18" s="4" t="inlineStr">
        <is>
          <t>Kavindu Udhara</t>
        </is>
      </c>
      <c r="C18" s="4">
        <f>+94 71 428 2933</f>
        <v/>
      </c>
      <c r="D18" s="4" t="inlineStr">
        <is>
          <t>wmkavinduudhara@gmail.com</t>
        </is>
      </c>
      <c r="E18" s="4" t="n">
        <v>200603103194</v>
      </c>
      <c r="F18" s="4" t="inlineStr">
        <is>
          <t>Male</t>
        </is>
      </c>
    </row>
    <row r="19">
      <c r="A19" s="4" t="n">
        <v>18</v>
      </c>
      <c r="B19" s="4" t="inlineStr">
        <is>
          <t>Jayashan Manodya</t>
        </is>
      </c>
      <c r="C19" s="4">
        <f>+94 76 447 9058</f>
        <v/>
      </c>
      <c r="D19" s="4" t="inlineStr">
        <is>
          <t>kpjmp28@gmail.com</t>
        </is>
      </c>
      <c r="E19" s="4" t="n">
        <v>200305901262</v>
      </c>
      <c r="F19" s="4" t="inlineStr">
        <is>
          <t>Male</t>
        </is>
      </c>
    </row>
    <row r="20">
      <c r="A20" s="4" t="n">
        <v>19</v>
      </c>
      <c r="B20" s="4" t="inlineStr">
        <is>
          <t>Mohamed Liyafutheen Faij Ahamed</t>
        </is>
      </c>
      <c r="C20" s="4">
        <f>+94 75 485 4596</f>
        <v/>
      </c>
      <c r="D20" s="4" t="inlineStr">
        <is>
          <t>faijgroups@gmail.com</t>
        </is>
      </c>
      <c r="E20" s="4" t="n">
        <v>200527401462</v>
      </c>
      <c r="F20" s="4" t="inlineStr">
        <is>
          <t>Male</t>
        </is>
      </c>
    </row>
    <row r="21">
      <c r="A21" s="4" t="n">
        <v>20</v>
      </c>
      <c r="B21" s="4" t="inlineStr">
        <is>
          <t>G. Shazmina Oudeen</t>
        </is>
      </c>
      <c r="C21" s="4">
        <f>+94 75 711 9305</f>
        <v/>
      </c>
      <c r="D21" s="4" t="inlineStr">
        <is>
          <t>shxminaoud@gmail.com</t>
        </is>
      </c>
      <c r="E21" s="4" t="n">
        <v>200554204328</v>
      </c>
      <c r="F21" s="4" t="inlineStr">
        <is>
          <t>Female</t>
        </is>
      </c>
    </row>
    <row r="22">
      <c r="A22" s="4" t="n">
        <v>21</v>
      </c>
      <c r="B22" s="4" t="inlineStr">
        <is>
          <t>Kaviyashini Visvalingam</t>
        </is>
      </c>
      <c r="C22" s="4" t="n">
        <v>740114991</v>
      </c>
      <c r="D22" s="4" t="inlineStr">
        <is>
          <t>kavi2005yashini@gmail.com</t>
        </is>
      </c>
      <c r="E22" s="4" t="n">
        <v>200584104242</v>
      </c>
      <c r="F22" s="4" t="inlineStr">
        <is>
          <t>Female</t>
        </is>
      </c>
    </row>
    <row r="23">
      <c r="A23" s="4" t="n">
        <v>22</v>
      </c>
      <c r="B23" s="4" t="inlineStr">
        <is>
          <t>Dinadi Sawanya Kodagoda</t>
        </is>
      </c>
      <c r="C23" s="4" t="n">
        <v>702330851</v>
      </c>
      <c r="D23" s="4" t="inlineStr">
        <is>
          <t>sawanya@gmail.com</t>
        </is>
      </c>
      <c r="E23" s="4" t="n">
        <v>200463400766</v>
      </c>
      <c r="F23" s="4" t="inlineStr">
        <is>
          <t>Female</t>
        </is>
      </c>
    </row>
    <row r="24">
      <c r="A24" s="4" t="n">
        <v>23</v>
      </c>
      <c r="B24" s="4" t="inlineStr">
        <is>
          <t>Daham Jayakody</t>
        </is>
      </c>
      <c r="C24" s="4">
        <f>+94 71 530 5954</f>
        <v/>
      </c>
      <c r="D24" s="4" t="inlineStr">
        <is>
          <t>dahamjayakodyy@gmail.com</t>
        </is>
      </c>
      <c r="E24" s="4" t="n">
        <v>200210200490</v>
      </c>
      <c r="F24" s="4" t="inlineStr">
        <is>
          <t>Male</t>
        </is>
      </c>
    </row>
    <row r="25">
      <c r="A25" s="4" t="n">
        <v>24</v>
      </c>
      <c r="B25" s="4" t="inlineStr">
        <is>
          <t>Rumana Azmi</t>
        </is>
      </c>
      <c r="C25" s="4" t="n">
        <v>715946052</v>
      </c>
      <c r="D25" s="4" t="inlineStr">
        <is>
          <t>rum4na.azmi@gmail.com</t>
        </is>
      </c>
      <c r="E25" s="4" t="n">
        <v>200359611125</v>
      </c>
      <c r="F25" s="4" t="inlineStr">
        <is>
          <t>Female</t>
        </is>
      </c>
    </row>
    <row r="26">
      <c r="A26" s="4" t="n">
        <v>25</v>
      </c>
      <c r="B26" s="4" t="inlineStr">
        <is>
          <t>Shafkhan Mohammed</t>
        </is>
      </c>
      <c r="C26" s="4" t="n">
        <v>764505146</v>
      </c>
      <c r="D26" s="4" t="inlineStr">
        <is>
          <t>shafkhandssc15@gmail.com</t>
        </is>
      </c>
      <c r="E26" s="4" t="n">
        <v>200432000262</v>
      </c>
      <c r="F26" s="4" t="inlineStr">
        <is>
          <t>Male</t>
        </is>
      </c>
    </row>
    <row r="27">
      <c r="A27" s="4" t="n">
        <v>26</v>
      </c>
      <c r="B27" s="4" t="inlineStr">
        <is>
          <t>Dulithma Heiyanthuduwa</t>
        </is>
      </c>
      <c r="C27" s="4" t="n">
        <v>718846865</v>
      </c>
      <c r="D27" s="4" t="inlineStr">
        <is>
          <t>hdulithma@gmail.com</t>
        </is>
      </c>
      <c r="E27" s="4" t="n">
        <v>200482703063</v>
      </c>
      <c r="F27" s="4" t="inlineStr">
        <is>
          <t>Female</t>
        </is>
      </c>
    </row>
    <row r="28">
      <c r="A28" s="4" t="n">
        <v>27</v>
      </c>
      <c r="B28" s="4" t="inlineStr">
        <is>
          <t>Savini Kommalage</t>
        </is>
      </c>
      <c r="C28" s="4" t="n">
        <v>765723317</v>
      </c>
      <c r="D28" s="4" t="inlineStr">
        <is>
          <t>githarakommalage@gmail.com</t>
        </is>
      </c>
      <c r="E28" s="4" t="n">
        <v>200465903508</v>
      </c>
      <c r="F28" s="4" t="inlineStr">
        <is>
          <t>Female</t>
        </is>
      </c>
    </row>
    <row r="29">
      <c r="A29" s="4" t="n">
        <v>28</v>
      </c>
      <c r="B29" s="4" t="inlineStr">
        <is>
          <t>Akini Panapitiya</t>
        </is>
      </c>
      <c r="C29" s="4" t="n">
        <v>703450059</v>
      </c>
      <c r="D29" s="4" t="inlineStr">
        <is>
          <t>panapitiyaakini@gmail.com</t>
        </is>
      </c>
      <c r="E29" s="4" t="n">
        <v>200377200262</v>
      </c>
      <c r="F29" s="4" t="inlineStr">
        <is>
          <t>Female</t>
        </is>
      </c>
    </row>
    <row r="30">
      <c r="A30" s="4" t="n">
        <v>29</v>
      </c>
      <c r="B30" s="4" t="inlineStr">
        <is>
          <t>Sanjeevsaran Jeyanthan</t>
        </is>
      </c>
      <c r="C30" s="4" t="n">
        <v>768976838</v>
      </c>
      <c r="D30" s="4" t="inlineStr">
        <is>
          <t>jeyanthansaran@gmail.com</t>
        </is>
      </c>
      <c r="E30" s="4" t="n">
        <v>200315410842</v>
      </c>
      <c r="F30" s="4" t="inlineStr">
        <is>
          <t>Male</t>
        </is>
      </c>
    </row>
    <row r="31">
      <c r="A31" s="4" t="n">
        <v>30</v>
      </c>
      <c r="B31" s="4" t="inlineStr">
        <is>
          <t>Gimhani Perera</t>
        </is>
      </c>
      <c r="C31" s="4" t="n">
        <v>723033233</v>
      </c>
      <c r="D31" s="4" t="inlineStr">
        <is>
          <t>gimhaninawodya801@gmail.com</t>
        </is>
      </c>
      <c r="E31" s="4" t="n">
        <v>200471402232</v>
      </c>
      <c r="F31" s="4" t="inlineStr">
        <is>
          <t>Female</t>
        </is>
      </c>
    </row>
    <row r="32">
      <c r="A32" s="4" t="n">
        <v>31</v>
      </c>
      <c r="B32" s="4" t="inlineStr">
        <is>
          <t>Vaanushan V</t>
        </is>
      </c>
      <c r="C32" s="4" t="n">
        <v>765384010</v>
      </c>
      <c r="D32" s="4" t="inlineStr">
        <is>
          <t>vaanushanv06@gmail.com</t>
        </is>
      </c>
      <c r="E32" s="4" t="n">
        <v>200526801753</v>
      </c>
      <c r="F32" s="4" t="inlineStr">
        <is>
          <t>Male</t>
        </is>
      </c>
    </row>
    <row r="33">
      <c r="A33" s="4" t="n">
        <v>32</v>
      </c>
      <c r="B33" s="4" t="inlineStr">
        <is>
          <t>Asven</t>
        </is>
      </c>
      <c r="C33" s="4" t="n">
        <v>766514423</v>
      </c>
      <c r="D33" s="4" t="inlineStr">
        <is>
          <t>ashwinsharmaroc@gmail.com</t>
        </is>
      </c>
      <c r="E33" s="4" t="n">
        <v>200523900961</v>
      </c>
      <c r="F33" s="4" t="inlineStr">
        <is>
          <t>Male</t>
        </is>
      </c>
    </row>
    <row r="34">
      <c r="A34" s="4" t="n">
        <v>33</v>
      </c>
      <c r="B34" s="4" t="inlineStr">
        <is>
          <t>Abdur Rahman Zaheem</t>
        </is>
      </c>
      <c r="C34" s="4" t="n">
        <v>727395823</v>
      </c>
      <c r="D34" s="4" t="inlineStr">
        <is>
          <t>ar186870@gmail.com</t>
        </is>
      </c>
      <c r="E34" s="4" t="n">
        <v>200409114658</v>
      </c>
      <c r="F34" s="4" t="inlineStr">
        <is>
          <t>Male</t>
        </is>
      </c>
    </row>
    <row r="35">
      <c r="A35" s="4" t="n">
        <v>34</v>
      </c>
      <c r="B35" s="4" t="inlineStr">
        <is>
          <t>Yeshan K P</t>
        </is>
      </c>
      <c r="C35" s="4" t="n">
        <v>766035565</v>
      </c>
      <c r="D35" s="4" t="inlineStr">
        <is>
          <t>online.yeshankp@gmail.com</t>
        </is>
      </c>
      <c r="E35" s="4" t="n">
        <v>200415600679</v>
      </c>
      <c r="F35" s="4" t="inlineStr">
        <is>
          <t>Male</t>
        </is>
      </c>
    </row>
    <row r="36">
      <c r="A36" s="4" t="n">
        <v>35</v>
      </c>
      <c r="B36" s="4" t="inlineStr">
        <is>
          <t>Shazna Muees</t>
        </is>
      </c>
      <c r="C36" s="4" t="n">
        <v>754460369</v>
      </c>
      <c r="D36" s="4" t="inlineStr">
        <is>
          <t>shazna.muees1@gmail.com</t>
        </is>
      </c>
      <c r="E36" s="4" t="n">
        <v>200180200837</v>
      </c>
      <c r="F36" s="4" t="inlineStr">
        <is>
          <t>Female</t>
        </is>
      </c>
    </row>
    <row r="37">
      <c r="A37" s="4" t="n">
        <v>36</v>
      </c>
      <c r="B37" s="4" t="inlineStr">
        <is>
          <t>Chanjugaa Rasamohan</t>
        </is>
      </c>
      <c r="C37" s="4">
        <f>+94740194571</f>
        <v/>
      </c>
      <c r="D37" s="4" t="inlineStr">
        <is>
          <t>chanjumohan583@gmail.com</t>
        </is>
      </c>
      <c r="E37" s="4" t="n">
        <v>200386612676</v>
      </c>
      <c r="F37" s="4" t="inlineStr">
        <is>
          <t>Female</t>
        </is>
      </c>
    </row>
    <row r="38">
      <c r="A38" s="4" t="n">
        <v>37</v>
      </c>
      <c r="B38" s="4" t="inlineStr">
        <is>
          <t>Sumudu Mudunayana</t>
        </is>
      </c>
      <c r="C38" s="4" t="n">
        <v>761888026</v>
      </c>
      <c r="D38" s="4" t="inlineStr">
        <is>
          <t>mudunayanamihigurathna@gmail.com</t>
        </is>
      </c>
      <c r="E38" s="4" t="n">
        <v>200335010660</v>
      </c>
      <c r="F38" s="4" t="inlineStr">
        <is>
          <t>Male</t>
        </is>
      </c>
    </row>
    <row r="39">
      <c r="A39" s="4" t="n">
        <v>38</v>
      </c>
      <c r="B39" s="4" t="inlineStr">
        <is>
          <t>Nethmi Weherawatta</t>
        </is>
      </c>
      <c r="C39" s="4" t="n">
        <v>702644651</v>
      </c>
      <c r="D39" s="4" t="inlineStr">
        <is>
          <t>nethmin703@gmail.com</t>
        </is>
      </c>
      <c r="E39" s="4" t="n">
        <v>200268502914</v>
      </c>
      <c r="F39" s="4" t="inlineStr">
        <is>
          <t>Female</t>
        </is>
      </c>
    </row>
    <row r="40">
      <c r="A40" s="4" t="n">
        <v>39</v>
      </c>
      <c r="B40" s="4" t="inlineStr">
        <is>
          <t>Thavisha Dewmith</t>
        </is>
      </c>
      <c r="C40" s="4" t="n">
        <v>716293391</v>
      </c>
      <c r="D40" s="4" t="inlineStr">
        <is>
          <t>thavishawimalarathne7@gmail.com</t>
        </is>
      </c>
      <c r="E40" s="4" t="n">
        <v>200435001769</v>
      </c>
      <c r="F40" s="4" t="inlineStr">
        <is>
          <t>Male</t>
        </is>
      </c>
    </row>
    <row r="41">
      <c r="A41" s="4" t="n">
        <v>40</v>
      </c>
      <c r="B41" s="4" t="inlineStr">
        <is>
          <t>Anbuchselvan Sharvessh Ala.</t>
        </is>
      </c>
      <c r="C41" s="4" t="n">
        <v>771432469</v>
      </c>
      <c r="D41" s="4" t="inlineStr">
        <is>
          <t>it25103183@my.sliit.lk</t>
        </is>
      </c>
      <c r="E41" s="4" t="n">
        <v>200504203358</v>
      </c>
      <c r="F41" s="4" t="inlineStr">
        <is>
          <t>Male</t>
        </is>
      </c>
    </row>
    <row r="42">
      <c r="A42" s="4" t="n">
        <v>41</v>
      </c>
      <c r="B42" s="4" t="inlineStr">
        <is>
          <t>Nipun Kuruvitage</t>
        </is>
      </c>
      <c r="C42" s="4" t="n">
        <v>770794058</v>
      </c>
      <c r="D42" s="4" t="inlineStr">
        <is>
          <t>nipundthilanka2246@gmail.com</t>
        </is>
      </c>
      <c r="E42" s="4" t="n">
        <v>200231102812</v>
      </c>
      <c r="F42" s="4" t="inlineStr">
        <is>
          <t>Male</t>
        </is>
      </c>
    </row>
    <row r="43">
      <c r="A43" s="4" t="n">
        <v>42</v>
      </c>
      <c r="B43" s="4" t="inlineStr">
        <is>
          <t>Dulni Geha</t>
        </is>
      </c>
      <c r="C43" s="4" t="n">
        <v>704306547</v>
      </c>
      <c r="D43" s="4" t="inlineStr">
        <is>
          <t>dulni3s@gmail.com</t>
        </is>
      </c>
      <c r="E43" s="4" t="n">
        <v>200563201476</v>
      </c>
      <c r="F43" s="4" t="inlineStr">
        <is>
          <t>Female</t>
        </is>
      </c>
    </row>
    <row r="44">
      <c r="A44" s="4" t="n">
        <v>43</v>
      </c>
      <c r="B44" s="4" t="inlineStr">
        <is>
          <t>Mihijith Panagoda</t>
        </is>
      </c>
      <c r="C44" s="4" t="n">
        <v>778647669</v>
      </c>
      <c r="D44" s="4" t="inlineStr">
        <is>
          <t>mihijith.panagoda@gmail.com</t>
        </is>
      </c>
      <c r="E44" s="4" t="n">
        <v>20032571134</v>
      </c>
      <c r="F44" s="4" t="inlineStr">
        <is>
          <t>Male</t>
        </is>
      </c>
    </row>
    <row r="45">
      <c r="A45" s="4" t="n">
        <v>44</v>
      </c>
      <c r="B45" s="4" t="inlineStr">
        <is>
          <t>Chathuni Lelwala</t>
        </is>
      </c>
      <c r="C45" s="4" t="n">
        <v>719174257</v>
      </c>
      <c r="D45" s="4" t="inlineStr">
        <is>
          <t>chathuniyasassri@gmail.com</t>
        </is>
      </c>
      <c r="E45" s="4" t="n">
        <v>200176701370</v>
      </c>
      <c r="F45" s="4" t="inlineStr">
        <is>
          <t>Female</t>
        </is>
      </c>
    </row>
    <row r="46">
      <c r="A46" s="4" t="n">
        <v>45</v>
      </c>
      <c r="B46" s="4" t="inlineStr">
        <is>
          <t>Tharindu Wijerathna</t>
        </is>
      </c>
      <c r="C46" s="4" t="n">
        <v>740976916</v>
      </c>
      <c r="D46" s="4" t="inlineStr">
        <is>
          <t>wijerathna.dev.2004@gmail.com</t>
        </is>
      </c>
      <c r="E46" s="4" t="n">
        <v>200420803939</v>
      </c>
      <c r="F46" s="4" t="inlineStr">
        <is>
          <t>Male</t>
        </is>
      </c>
    </row>
    <row r="47">
      <c r="A47" s="4" t="n">
        <v>46</v>
      </c>
      <c r="B47" s="4" t="inlineStr">
        <is>
          <t>Sisina Gunasekara</t>
        </is>
      </c>
      <c r="C47" s="4" t="n">
        <v>756318740</v>
      </c>
      <c r="D47" s="4" t="inlineStr">
        <is>
          <t>sisinagunasekara@gmail.com</t>
        </is>
      </c>
      <c r="E47" s="4" t="n">
        <v>200509301019</v>
      </c>
      <c r="F47" s="4" t="inlineStr">
        <is>
          <t>Male</t>
        </is>
      </c>
    </row>
    <row r="48">
      <c r="A48" s="4" t="n">
        <v>47</v>
      </c>
      <c r="B48" s="4" t="inlineStr">
        <is>
          <t>Dihini Galappaththi</t>
        </is>
      </c>
      <c r="C48" s="4" t="n">
        <v>702101128</v>
      </c>
      <c r="D48" s="4" t="inlineStr">
        <is>
          <t>dgalappaththi.20@gmail.com</t>
        </is>
      </c>
      <c r="E48" s="4" t="n">
        <v>200357510078</v>
      </c>
      <c r="F48" s="4" t="inlineStr">
        <is>
          <t>Female</t>
        </is>
      </c>
    </row>
    <row r="49">
      <c r="A49" s="4" t="n">
        <v>48</v>
      </c>
      <c r="B49" s="4" t="inlineStr">
        <is>
          <t>Achin Chandrasiri</t>
        </is>
      </c>
      <c r="C49" s="4">
        <f>+94714020860</f>
        <v/>
      </c>
      <c r="D49" s="4" t="inlineStr">
        <is>
          <t>achinchandrasiri@gmail.com</t>
        </is>
      </c>
      <c r="E49" s="4" t="n">
        <v>200418402380</v>
      </c>
      <c r="F49" s="4" t="inlineStr">
        <is>
          <t>Male</t>
        </is>
      </c>
    </row>
    <row r="50">
      <c r="A50" s="4" t="n">
        <v>49</v>
      </c>
      <c r="B50" s="4" t="inlineStr">
        <is>
          <t>Kahil Cuttilan</t>
        </is>
      </c>
      <c r="C50" s="4" t="n">
        <v>768448498</v>
      </c>
      <c r="D50" s="4" t="inlineStr">
        <is>
          <t>kahilzaman@gmail.com</t>
        </is>
      </c>
      <c r="E50" s="4" t="n">
        <v>200635603949</v>
      </c>
      <c r="F50" s="4" t="inlineStr">
        <is>
          <t>Male</t>
        </is>
      </c>
    </row>
    <row r="51">
      <c r="A51" s="4" t="n">
        <v>50</v>
      </c>
      <c r="B51" s="4" t="inlineStr">
        <is>
          <t>Amani Jaufer</t>
        </is>
      </c>
      <c r="C51" s="4" t="n">
        <v>743183632</v>
      </c>
      <c r="D51" s="4" t="inlineStr">
        <is>
          <t>amanijfofficial@gmail.com</t>
        </is>
      </c>
      <c r="E51" s="4" t="n">
        <v>200368811176</v>
      </c>
      <c r="F51" s="4" t="inlineStr">
        <is>
          <t>Female</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F61"/>
  <sheetViews>
    <sheetView workbookViewId="0">
      <pane ySplit="1" topLeftCell="A2" activePane="bottomLeft" state="frozen"/>
      <selection pane="bottomLeft" activeCell="B3" sqref="B3"/>
    </sheetView>
  </sheetViews>
  <sheetFormatPr baseColWidth="8" defaultColWidth="14.43" defaultRowHeight="15.75" customHeight="1"/>
  <cols>
    <col width="32.86" customWidth="1" style="108" min="1" max="1"/>
    <col width="22.14" customWidth="1" style="108" min="2" max="2"/>
    <col width="21.43" customWidth="1" style="108" min="3" max="3"/>
    <col width="21.86" customWidth="1" style="108" min="4" max="4"/>
    <col width="23.57" customWidth="1" style="108" min="5" max="5"/>
    <col width="22" customWidth="1" style="108" min="6" max="6"/>
  </cols>
  <sheetData>
    <row r="1">
      <c r="A1" s="5" t="inlineStr">
        <is>
          <t>Email</t>
        </is>
      </c>
      <c r="B1" s="5" t="inlineStr">
        <is>
          <t>First Name</t>
        </is>
      </c>
      <c r="C1" s="5" t="inlineStr">
        <is>
          <t>Last Name</t>
        </is>
      </c>
      <c r="D1" s="6" t="inlineStr">
        <is>
          <t xml:space="preserve">National Identity Card Number (NIC) </t>
        </is>
      </c>
      <c r="E1" s="7" t="inlineStr">
        <is>
          <t xml:space="preserve">WhatsApp Number </t>
        </is>
      </c>
      <c r="F1" s="16" t="inlineStr">
        <is>
          <t xml:space="preserve">Membership Number </t>
        </is>
      </c>
    </row>
    <row r="2">
      <c r="A2" s="9" t="inlineStr">
        <is>
          <t>wijerathna.dev.2004@gmail.com</t>
        </is>
      </c>
      <c r="B2" s="9" t="inlineStr">
        <is>
          <t>Tharindu</t>
        </is>
      </c>
      <c r="C2" s="9" t="inlineStr">
        <is>
          <t>Wijerathna</t>
        </is>
      </c>
      <c r="D2" s="10" t="n">
        <v>200420803939</v>
      </c>
      <c r="E2" s="11" t="inlineStr">
        <is>
          <t>0740976916</t>
        </is>
      </c>
      <c r="F2" s="12" t="n">
        <v>102461187</v>
      </c>
    </row>
    <row r="3">
      <c r="A3" s="13" t="inlineStr">
        <is>
          <t>navidamanawadu12@gmail.com</t>
        </is>
      </c>
      <c r="B3" s="13" t="inlineStr">
        <is>
          <t>Navida</t>
        </is>
      </c>
      <c r="C3" s="13" t="inlineStr">
        <is>
          <t>Manawadu</t>
        </is>
      </c>
      <c r="D3" s="14" t="n">
        <v>200419100378</v>
      </c>
      <c r="E3" s="15" t="inlineStr">
        <is>
          <t>0705805305</t>
        </is>
      </c>
      <c r="F3" s="16" t="inlineStr">
        <is>
          <t>N/A</t>
        </is>
      </c>
    </row>
    <row r="4">
      <c r="A4" s="9" t="inlineStr">
        <is>
          <t>kavi2005yashini@gmail.com</t>
        </is>
      </c>
      <c r="B4" s="9" t="inlineStr">
        <is>
          <t xml:space="preserve">Kaviyashini </t>
        </is>
      </c>
      <c r="C4" s="9" t="inlineStr">
        <is>
          <t>Visvalingam</t>
        </is>
      </c>
      <c r="D4" s="10" t="n">
        <v>200584104242</v>
      </c>
      <c r="E4" s="11" t="inlineStr">
        <is>
          <t>0740114991</t>
        </is>
      </c>
      <c r="F4" s="12" t="n">
        <v>101618416</v>
      </c>
    </row>
    <row r="5">
      <c r="A5" s="17" t="inlineStr">
        <is>
          <t xml:space="preserve">shageejoxtyn@gmail.com </t>
        </is>
      </c>
      <c r="B5" s="17" t="inlineStr">
        <is>
          <t>Shageeshan</t>
        </is>
      </c>
      <c r="C5" s="17" t="inlineStr">
        <is>
          <t xml:space="preserve">Thamodharam </t>
        </is>
      </c>
      <c r="D5" s="18" t="n">
        <v>200423302190</v>
      </c>
      <c r="E5" s="19" t="inlineStr">
        <is>
          <t>0771089061</t>
        </is>
      </c>
      <c r="F5" s="12" t="n">
        <v>100804391</v>
      </c>
    </row>
    <row r="6">
      <c r="A6" s="9" t="inlineStr">
        <is>
          <t>Shxminaoud@gmail.com</t>
        </is>
      </c>
      <c r="B6" s="9" t="inlineStr">
        <is>
          <t>Shazmina</t>
        </is>
      </c>
      <c r="C6" s="9" t="inlineStr">
        <is>
          <t>Oudeen</t>
        </is>
      </c>
      <c r="D6" s="10" t="n">
        <v>200554204328</v>
      </c>
      <c r="E6" s="11" t="inlineStr">
        <is>
          <t>0757119305</t>
        </is>
      </c>
      <c r="F6" s="16" t="inlineStr">
        <is>
          <t>N/A</t>
        </is>
      </c>
    </row>
    <row r="7">
      <c r="A7" s="13" t="inlineStr">
        <is>
          <t>mihisaralasindu45@gmail.com</t>
        </is>
      </c>
      <c r="B7" s="13" t="inlineStr">
        <is>
          <t xml:space="preserve">Lasindu </t>
        </is>
      </c>
      <c r="C7" s="13" t="inlineStr">
        <is>
          <t xml:space="preserve">Mihisara </t>
        </is>
      </c>
      <c r="D7" s="14" t="n">
        <v>200235103264</v>
      </c>
      <c r="E7" s="15" t="inlineStr">
        <is>
          <t>0761237116</t>
        </is>
      </c>
      <c r="F7" s="20" t="inlineStr">
        <is>
          <t>N/A</t>
        </is>
      </c>
    </row>
    <row r="8">
      <c r="A8" s="9" t="inlineStr">
        <is>
          <t>en25300524@my.sliit.lk</t>
        </is>
      </c>
      <c r="B8" s="9" t="inlineStr">
        <is>
          <t>Sanjana</t>
        </is>
      </c>
      <c r="C8" s="9" t="inlineStr">
        <is>
          <t>Gurusinghe</t>
        </is>
      </c>
      <c r="D8" s="10" t="n">
        <v>200424300280</v>
      </c>
      <c r="E8" s="11" t="inlineStr">
        <is>
          <t>0714379981</t>
        </is>
      </c>
      <c r="F8" s="16" t="inlineStr">
        <is>
          <t>N/A</t>
        </is>
      </c>
    </row>
    <row r="9">
      <c r="A9" s="13" t="inlineStr">
        <is>
          <t>tgkanujith@gmail.com</t>
        </is>
      </c>
      <c r="B9" s="13" t="inlineStr">
        <is>
          <t xml:space="preserve">Kaveesha </t>
        </is>
      </c>
      <c r="C9" s="13" t="inlineStr">
        <is>
          <t xml:space="preserve">Anujith </t>
        </is>
      </c>
      <c r="D9" s="14" t="n">
        <v>200400611450</v>
      </c>
      <c r="E9" s="15" t="inlineStr">
        <is>
          <t>0781646772</t>
        </is>
      </c>
      <c r="F9" s="20" t="n">
        <v>102543802</v>
      </c>
    </row>
    <row r="10">
      <c r="A10" s="9" t="inlineStr">
        <is>
          <t>minodherath@gmail.com</t>
        </is>
      </c>
      <c r="B10" s="9" t="inlineStr">
        <is>
          <t>Minod</t>
        </is>
      </c>
      <c r="C10" s="9" t="inlineStr">
        <is>
          <t>Banda</t>
        </is>
      </c>
      <c r="D10" s="10" t="n">
        <v>200335800113</v>
      </c>
      <c r="E10" s="11" t="inlineStr">
        <is>
          <t>0762346023</t>
        </is>
      </c>
      <c r="F10" s="16" t="inlineStr">
        <is>
          <t>N/A</t>
        </is>
      </c>
    </row>
    <row r="11">
      <c r="A11" s="13" t="inlineStr">
        <is>
          <t>methulkenulav@gmail.com</t>
        </is>
      </c>
      <c r="B11" s="13" t="inlineStr">
        <is>
          <t>Methul</t>
        </is>
      </c>
      <c r="C11" s="13" t="inlineStr">
        <is>
          <t>Kenula</t>
        </is>
      </c>
      <c r="D11" s="14" t="n">
        <v>200515203003</v>
      </c>
      <c r="E11" s="15" t="inlineStr">
        <is>
          <t>0740174408</t>
        </is>
      </c>
      <c r="F11" s="16" t="inlineStr">
        <is>
          <t>N/A</t>
        </is>
      </c>
    </row>
    <row r="12">
      <c r="A12" s="9" t="inlineStr">
        <is>
          <t>dulithashakya@gmail.com</t>
        </is>
      </c>
      <c r="B12" s="9" t="inlineStr">
        <is>
          <t xml:space="preserve">Dulitha </t>
        </is>
      </c>
      <c r="C12" s="9" t="inlineStr">
        <is>
          <t>Shakya</t>
        </is>
      </c>
      <c r="D12" s="10" t="n">
        <v>200328312553</v>
      </c>
      <c r="E12" s="11" t="inlineStr">
        <is>
          <t>0702313512</t>
        </is>
      </c>
      <c r="F12" s="16" t="inlineStr">
        <is>
          <t>N/A</t>
        </is>
      </c>
    </row>
    <row r="13">
      <c r="A13" s="13" t="inlineStr">
        <is>
          <t>chrismalranasinghe2006@gmail.com</t>
        </is>
      </c>
      <c r="B13" s="13" t="inlineStr">
        <is>
          <t>Chrismal</t>
        </is>
      </c>
      <c r="C13" s="13" t="inlineStr">
        <is>
          <t>Ranasinghe</t>
        </is>
      </c>
      <c r="D13" s="14" t="n">
        <v>200606603039</v>
      </c>
      <c r="E13" s="15" t="inlineStr">
        <is>
          <t>0765648097</t>
        </is>
      </c>
      <c r="F13" s="16" t="inlineStr">
        <is>
          <t>N/A</t>
        </is>
      </c>
    </row>
    <row r="14">
      <c r="A14" s="9" t="inlineStr">
        <is>
          <t>vbkumararathna20@gmail.com</t>
        </is>
      </c>
      <c r="B14" s="9" t="inlineStr">
        <is>
          <t xml:space="preserve">Vishwa </t>
        </is>
      </c>
      <c r="C14" s="9" t="inlineStr">
        <is>
          <t xml:space="preserve">Kumararathna </t>
        </is>
      </c>
      <c r="D14" s="10" t="n">
        <v>200235002610</v>
      </c>
      <c r="E14" s="11" t="inlineStr">
        <is>
          <t>0773532641</t>
        </is>
      </c>
      <c r="F14" s="20" t="n">
        <v>102623563</v>
      </c>
    </row>
    <row r="15">
      <c r="A15" s="21" t="inlineStr">
        <is>
          <t>shanuk.silva50@gmail.com</t>
        </is>
      </c>
      <c r="B15" s="21" t="inlineStr">
        <is>
          <t>Shanuk</t>
        </is>
      </c>
      <c r="C15" s="21" t="inlineStr">
        <is>
          <t>Silva</t>
        </is>
      </c>
      <c r="D15" s="14" t="n">
        <v>200419001212</v>
      </c>
      <c r="E15" s="22" t="n">
        <v>765596356</v>
      </c>
      <c r="F15" s="12" t="n">
        <v>102576393</v>
      </c>
    </row>
    <row r="16">
      <c r="A16" s="9" t="inlineStr">
        <is>
          <t xml:space="preserve"> yumallakmitha@gmail.com</t>
        </is>
      </c>
      <c r="B16" s="9" t="inlineStr">
        <is>
          <t>Yumal</t>
        </is>
      </c>
      <c r="C16" s="9" t="inlineStr">
        <is>
          <t>Lakmitha</t>
        </is>
      </c>
      <c r="D16" s="10" t="n">
        <v>200528301178</v>
      </c>
      <c r="E16" s="11" t="inlineStr">
        <is>
          <t>0779358820</t>
        </is>
      </c>
      <c r="F16" s="12" t="n">
        <v>102237850</v>
      </c>
    </row>
    <row r="17">
      <c r="A17" s="13" t="inlineStr">
        <is>
          <t>sahannethumina2020@gmail.com</t>
        </is>
      </c>
      <c r="B17" s="13" t="inlineStr">
        <is>
          <t>Sahan</t>
        </is>
      </c>
      <c r="C17" s="13" t="inlineStr">
        <is>
          <t xml:space="preserve">Nethumina </t>
        </is>
      </c>
      <c r="D17" s="14" t="n">
        <v>200319913103</v>
      </c>
      <c r="E17" s="15" t="inlineStr">
        <is>
          <t>0717246685</t>
        </is>
      </c>
      <c r="F17" s="20" t="n">
        <v>102544409</v>
      </c>
    </row>
    <row r="18">
      <c r="A18" s="9" t="inlineStr">
        <is>
          <t>Ashanvfx@gmail.com</t>
        </is>
      </c>
      <c r="B18" s="9" t="inlineStr">
        <is>
          <t>Ashan</t>
        </is>
      </c>
      <c r="C18" s="9" t="inlineStr">
        <is>
          <t>Induranga</t>
        </is>
      </c>
      <c r="D18" s="10" t="n">
        <v>200405812728</v>
      </c>
      <c r="E18" s="23" t="n">
        <v>771950818</v>
      </c>
      <c r="F18" s="20" t="n">
        <v>102543892</v>
      </c>
    </row>
    <row r="19">
      <c r="A19" s="21" t="inlineStr">
        <is>
          <t>nethakasiriwardena@gmail.com</t>
        </is>
      </c>
      <c r="B19" s="21" t="inlineStr">
        <is>
          <t>Nethaka</t>
        </is>
      </c>
      <c r="C19" s="21" t="inlineStr">
        <is>
          <t>Siriwardena</t>
        </is>
      </c>
      <c r="D19" s="22" t="n">
        <v>200332400312</v>
      </c>
      <c r="E19" s="22" t="n">
        <v>777567090</v>
      </c>
      <c r="F19" s="20" t="n">
        <v>101573952</v>
      </c>
    </row>
    <row r="20">
      <c r="A20" s="9" t="inlineStr">
        <is>
          <t>laksrisenura@gmail.com</t>
        </is>
      </c>
      <c r="B20" s="9" t="inlineStr">
        <is>
          <t>Laksri</t>
        </is>
      </c>
      <c r="C20" s="9" t="inlineStr">
        <is>
          <t>Senura</t>
        </is>
      </c>
      <c r="D20" s="10" t="n">
        <v>200515501368</v>
      </c>
      <c r="E20" s="11" t="inlineStr">
        <is>
          <t>0770157283</t>
        </is>
      </c>
      <c r="F20" s="16" t="inlineStr">
        <is>
          <t>N/A</t>
        </is>
      </c>
    </row>
    <row r="21">
      <c r="A21" s="13" t="inlineStr">
        <is>
          <t>pereratinuli2005@gmail.com</t>
        </is>
      </c>
      <c r="B21" s="13" t="inlineStr">
        <is>
          <t>Tinuli</t>
        </is>
      </c>
      <c r="C21" s="13" t="inlineStr">
        <is>
          <t>Perera</t>
        </is>
      </c>
      <c r="D21" s="14" t="n">
        <v>200582001451</v>
      </c>
      <c r="E21" s="15" t="inlineStr">
        <is>
          <t>0779886722</t>
        </is>
      </c>
      <c r="F21" s="16" t="inlineStr">
        <is>
          <t>N/A</t>
        </is>
      </c>
    </row>
    <row r="22">
      <c r="A22" s="9" t="inlineStr">
        <is>
          <t>tdiddamalgoda@gmail.com</t>
        </is>
      </c>
      <c r="B22" s="9" t="inlineStr">
        <is>
          <t>Thisasni</t>
        </is>
      </c>
      <c r="C22" s="9" t="inlineStr">
        <is>
          <t>Iddamalgoda</t>
        </is>
      </c>
      <c r="D22" s="10" t="n">
        <v>200573400300</v>
      </c>
      <c r="E22" s="11" t="inlineStr">
        <is>
          <t>0702479016</t>
        </is>
      </c>
      <c r="F22" s="16" t="inlineStr">
        <is>
          <t>N/A</t>
        </is>
      </c>
    </row>
    <row r="23">
      <c r="A23" s="13" t="inlineStr">
        <is>
          <t>en25300046@my.sliit.lk</t>
        </is>
      </c>
      <c r="B23" s="13" t="inlineStr">
        <is>
          <t xml:space="preserve">Malmi </t>
        </is>
      </c>
      <c r="C23" s="13" t="inlineStr">
        <is>
          <t xml:space="preserve">Gunathilaka </t>
        </is>
      </c>
      <c r="D23" s="14" t="n">
        <v>200573302820</v>
      </c>
      <c r="E23" s="15" t="inlineStr">
        <is>
          <t>0719026847</t>
        </is>
      </c>
      <c r="F23" s="16" t="inlineStr">
        <is>
          <t>N/A</t>
        </is>
      </c>
    </row>
    <row r="24">
      <c r="A24" s="9" t="inlineStr">
        <is>
          <t>en25300385@my.sliit.lk</t>
        </is>
      </c>
      <c r="B24" s="9" t="inlineStr">
        <is>
          <t>Arosha</t>
        </is>
      </c>
      <c r="C24" s="9" t="inlineStr">
        <is>
          <t>Malith</t>
        </is>
      </c>
      <c r="D24" s="10" t="n">
        <v>200403711255</v>
      </c>
      <c r="E24" s="11" t="inlineStr">
        <is>
          <t>0712674547</t>
        </is>
      </c>
      <c r="F24" s="16" t="inlineStr">
        <is>
          <t>N/A</t>
        </is>
      </c>
    </row>
    <row r="25">
      <c r="A25" s="13" t="inlineStr">
        <is>
          <t>en25300312@my.sliit.lk</t>
        </is>
      </c>
      <c r="B25" s="13" t="inlineStr">
        <is>
          <t xml:space="preserve">Nethma </t>
        </is>
      </c>
      <c r="C25" s="13" t="inlineStr">
        <is>
          <t>Pahasarani</t>
        </is>
      </c>
      <c r="D25" s="14" t="n">
        <v>200581601727</v>
      </c>
      <c r="E25" s="15" t="inlineStr">
        <is>
          <t>0774621600</t>
        </is>
      </c>
      <c r="F25" s="16" t="inlineStr">
        <is>
          <t>N/A</t>
        </is>
      </c>
    </row>
    <row r="26">
      <c r="A26" s="9" t="inlineStr">
        <is>
          <t>thamindu7777adhikari@gmail.com</t>
        </is>
      </c>
      <c r="B26" s="9" t="inlineStr">
        <is>
          <t>Thamindu</t>
        </is>
      </c>
      <c r="C26" s="9" t="inlineStr">
        <is>
          <t>Adhikari</t>
        </is>
      </c>
      <c r="D26" s="10" t="n">
        <v>200201101220</v>
      </c>
      <c r="E26" s="11" t="inlineStr">
        <is>
          <t>0740775472</t>
        </is>
      </c>
      <c r="F26" s="16" t="inlineStr">
        <is>
          <t>N/A</t>
        </is>
      </c>
    </row>
    <row r="27">
      <c r="A27" s="13" t="inlineStr">
        <is>
          <t>en25510025@my.sliit.lk</t>
        </is>
      </c>
      <c r="B27" s="13" t="inlineStr">
        <is>
          <t xml:space="preserve">Gimindu </t>
        </is>
      </c>
      <c r="C27" s="13" t="inlineStr">
        <is>
          <t>Niwandana</t>
        </is>
      </c>
      <c r="D27" s="14" t="n">
        <v>200417503280</v>
      </c>
      <c r="E27" s="15" t="inlineStr">
        <is>
          <t>0772018119</t>
        </is>
      </c>
      <c r="F27" s="16" t="inlineStr">
        <is>
          <t>N/A</t>
        </is>
      </c>
    </row>
    <row r="28">
      <c r="A28" s="9" t="inlineStr">
        <is>
          <t>bandarakkgti@gmail.com</t>
        </is>
      </c>
      <c r="B28" s="9" t="inlineStr">
        <is>
          <t>Thevin</t>
        </is>
      </c>
      <c r="C28" s="9" t="inlineStr">
        <is>
          <t>Bandara</t>
        </is>
      </c>
      <c r="D28" s="10" t="n">
        <v>200524601982</v>
      </c>
      <c r="E28" s="11" t="inlineStr">
        <is>
          <t>0702382181</t>
        </is>
      </c>
      <c r="F28" s="12" t="n">
        <v>102226575</v>
      </c>
    </row>
    <row r="29">
      <c r="A29" s="21" t="inlineStr">
        <is>
          <t>EN25300364@my.sliit.lk</t>
        </is>
      </c>
      <c r="B29" s="21" t="inlineStr">
        <is>
          <t xml:space="preserve">Pamanda </t>
        </is>
      </c>
      <c r="C29" s="21" t="inlineStr">
        <is>
          <t>Ashini</t>
        </is>
      </c>
      <c r="D29" s="14" t="n">
        <v>200483903948</v>
      </c>
      <c r="E29" s="22" t="n">
        <v>787585060</v>
      </c>
      <c r="F29" s="16" t="inlineStr">
        <is>
          <t>N/A</t>
        </is>
      </c>
    </row>
    <row r="30">
      <c r="A30" s="9" t="inlineStr">
        <is>
          <t>it25100414@gmail.com</t>
        </is>
      </c>
      <c r="B30" s="9" t="inlineStr">
        <is>
          <t>Dinuka</t>
        </is>
      </c>
      <c r="C30" s="9" t="inlineStr">
        <is>
          <t xml:space="preserve">Cooray </t>
        </is>
      </c>
      <c r="D30" s="10" t="n">
        <v>200325500253</v>
      </c>
      <c r="E30" s="11" t="inlineStr">
        <is>
          <t>0786821618</t>
        </is>
      </c>
      <c r="F30" s="16" t="inlineStr">
        <is>
          <t>N/A</t>
        </is>
      </c>
    </row>
    <row r="31">
      <c r="A31" s="21" t="inlineStr">
        <is>
          <t>en25300067@my.sliit.lk</t>
        </is>
      </c>
      <c r="B31" s="21" t="inlineStr">
        <is>
          <t>Naduni</t>
        </is>
      </c>
      <c r="C31" s="21" t="inlineStr">
        <is>
          <t>Fernando</t>
        </is>
      </c>
      <c r="D31" s="14" t="n">
        <v>200557901851</v>
      </c>
      <c r="E31" s="22" t="n">
        <v>763951401</v>
      </c>
      <c r="F31" s="20" t="n">
        <v>102606871</v>
      </c>
    </row>
    <row r="32">
      <c r="A32" s="9" t="inlineStr">
        <is>
          <t>dgkaveeshasansala@gmail.com</t>
        </is>
      </c>
      <c r="B32" s="9" t="inlineStr">
        <is>
          <t>D.G.K</t>
        </is>
      </c>
      <c r="C32" s="9" t="inlineStr">
        <is>
          <t>Sansala</t>
        </is>
      </c>
      <c r="D32" s="10" t="n">
        <v>200428102329</v>
      </c>
      <c r="E32" s="11" t="inlineStr">
        <is>
          <t>0703980535</t>
        </is>
      </c>
      <c r="F32" s="16" t="inlineStr">
        <is>
          <t>N/A</t>
        </is>
      </c>
    </row>
    <row r="33">
      <c r="A33" s="21" t="inlineStr">
        <is>
          <t>livisarasenithu902@gmail.com</t>
        </is>
      </c>
      <c r="B33" s="21" t="inlineStr">
        <is>
          <t>Senithu</t>
        </is>
      </c>
      <c r="C33" s="21" t="inlineStr">
        <is>
          <t>Livisara</t>
        </is>
      </c>
      <c r="D33" s="14" t="n">
        <v>200501000443</v>
      </c>
      <c r="E33" s="22" t="n">
        <v>721556684</v>
      </c>
      <c r="F33" s="20" t="n">
        <v>102570873</v>
      </c>
    </row>
    <row r="34">
      <c r="A34" s="9" t="inlineStr">
        <is>
          <t>en25300140@my.sliit.lk</t>
        </is>
      </c>
      <c r="B34" s="9" t="inlineStr">
        <is>
          <t>Chathura</t>
        </is>
      </c>
      <c r="C34" s="9" t="inlineStr">
        <is>
          <t>Sandaruwan</t>
        </is>
      </c>
      <c r="D34" s="10" t="n">
        <v>200205102410</v>
      </c>
      <c r="E34" s="11" t="inlineStr">
        <is>
          <t>0710720439</t>
        </is>
      </c>
      <c r="F34" s="12" t="n">
        <v>102544106</v>
      </c>
    </row>
    <row r="35">
      <c r="A35" s="21" t="inlineStr">
        <is>
          <t>ashik007mmm@gmail.com</t>
        </is>
      </c>
      <c r="B35" s="21" t="inlineStr">
        <is>
          <t>Anaaya</t>
        </is>
      </c>
      <c r="C35" s="21" t="inlineStr">
        <is>
          <t>Ashik</t>
        </is>
      </c>
      <c r="D35" s="14" t="n">
        <v>200782805104</v>
      </c>
      <c r="E35" s="22" t="n">
        <v>768584459</v>
      </c>
      <c r="F35" s="20" t="n">
        <v>102621421</v>
      </c>
    </row>
    <row r="36">
      <c r="A36" s="9" t="inlineStr">
        <is>
          <t>theminipiyanma@gmail.com</t>
        </is>
      </c>
      <c r="B36" s="9" t="inlineStr">
        <is>
          <t>Themini</t>
        </is>
      </c>
      <c r="C36" s="9" t="inlineStr">
        <is>
          <t>Obeysekara</t>
        </is>
      </c>
      <c r="D36" s="10" t="n">
        <v>200373900408</v>
      </c>
      <c r="E36" s="11" t="inlineStr">
        <is>
          <t>0702677320</t>
        </is>
      </c>
      <c r="F36" s="12" t="n">
        <v>102417614</v>
      </c>
    </row>
    <row r="37">
      <c r="A37" s="13" t="inlineStr">
        <is>
          <t xml:space="preserve">nelukibalasooriya@gmail.com </t>
        </is>
      </c>
      <c r="B37" s="13" t="inlineStr">
        <is>
          <t xml:space="preserve">Neluki </t>
        </is>
      </c>
      <c r="C37" s="13" t="inlineStr">
        <is>
          <t xml:space="preserve">Balasooriya </t>
        </is>
      </c>
      <c r="D37" s="14" t="n">
        <v>200575802192</v>
      </c>
      <c r="E37" s="24" t="n">
        <v>755440008</v>
      </c>
      <c r="F37" s="20" t="n">
        <v>102203470</v>
      </c>
    </row>
    <row r="38">
      <c r="A38" s="9" t="inlineStr">
        <is>
          <t>kahilzaman@gmail.com</t>
        </is>
      </c>
      <c r="B38" s="9" t="inlineStr">
        <is>
          <t>Kahil</t>
        </is>
      </c>
      <c r="C38" s="9" t="inlineStr">
        <is>
          <t xml:space="preserve">Cuttilan </t>
        </is>
      </c>
      <c r="D38" s="10" t="n">
        <v>200635603949</v>
      </c>
      <c r="E38" s="11" t="inlineStr">
        <is>
          <t>0768448498</t>
        </is>
      </c>
      <c r="F38" s="20" t="n">
        <v>102543953</v>
      </c>
    </row>
    <row r="39">
      <c r="A39" s="13" t="inlineStr">
        <is>
          <t>thisumwellahewage@gmail.com</t>
        </is>
      </c>
      <c r="B39" s="13" t="inlineStr">
        <is>
          <t xml:space="preserve">Thisum </t>
        </is>
      </c>
      <c r="C39" s="13" t="inlineStr">
        <is>
          <t>Wellahewage</t>
        </is>
      </c>
      <c r="D39" s="14" t="n">
        <v>200524601435</v>
      </c>
      <c r="E39" s="15" t="inlineStr">
        <is>
          <t>0786749160</t>
        </is>
      </c>
      <c r="F39" s="16" t="inlineStr">
        <is>
          <t>N/A</t>
        </is>
      </c>
    </row>
    <row r="40">
      <c r="A40" s="25" t="inlineStr">
        <is>
          <t>en25300242@my.sliit.lk</t>
        </is>
      </c>
      <c r="B40" s="25" t="inlineStr">
        <is>
          <t xml:space="preserve">Thisara </t>
        </is>
      </c>
      <c r="C40" s="25" t="inlineStr">
        <is>
          <t>Ediriweera</t>
        </is>
      </c>
      <c r="D40" s="10" t="n">
        <v>200458112918</v>
      </c>
      <c r="E40" s="26" t="n">
        <v>701203201</v>
      </c>
      <c r="F40" s="20" t="n">
        <v>102621893</v>
      </c>
    </row>
    <row r="41">
      <c r="A41" s="13" t="inlineStr">
        <is>
          <t>it25103183@my.sliit.lk</t>
        </is>
      </c>
      <c r="B41" s="13" t="inlineStr">
        <is>
          <t>Anbuchselvan</t>
        </is>
      </c>
      <c r="C41" s="13" t="inlineStr">
        <is>
          <t>Sharvessh Alakaraj</t>
        </is>
      </c>
      <c r="D41" s="14" t="n">
        <v>200504203358</v>
      </c>
      <c r="E41" s="15" t="inlineStr">
        <is>
          <t>0771432469</t>
        </is>
      </c>
      <c r="F41" s="12" t="n">
        <v>102238110</v>
      </c>
    </row>
    <row r="42">
      <c r="A42" s="9" t="inlineStr">
        <is>
          <t>dumindukkdl0310@gmail.com</t>
        </is>
      </c>
      <c r="B42" s="9" t="inlineStr">
        <is>
          <t>Dumindu</t>
        </is>
      </c>
      <c r="C42" s="9" t="inlineStr">
        <is>
          <t>Kariyawasam</t>
        </is>
      </c>
      <c r="D42" s="10" t="n">
        <v>200507004217</v>
      </c>
      <c r="E42" s="11" t="inlineStr">
        <is>
          <t>0701566247</t>
        </is>
      </c>
      <c r="F42" s="12" t="n">
        <v>102573890</v>
      </c>
    </row>
    <row r="43">
      <c r="A43" s="13" t="inlineStr">
        <is>
          <t>dinukig13@gmail.com</t>
        </is>
      </c>
      <c r="B43" s="13" t="inlineStr">
        <is>
          <t xml:space="preserve">Dinuki </t>
        </is>
      </c>
      <c r="C43" s="13" t="inlineStr">
        <is>
          <t>Gunawardana</t>
        </is>
      </c>
      <c r="D43" s="14" t="n">
        <v>200275700890</v>
      </c>
      <c r="E43" s="15" t="inlineStr">
        <is>
          <t>0705991020</t>
        </is>
      </c>
      <c r="F43" s="12" t="n">
        <v>102571107</v>
      </c>
    </row>
    <row r="44">
      <c r="A44" s="9" t="inlineStr">
        <is>
          <t>savidusithum899@gmail.com</t>
        </is>
      </c>
      <c r="B44" s="9" t="inlineStr">
        <is>
          <t xml:space="preserve">Savidu </t>
        </is>
      </c>
      <c r="C44" s="9" t="inlineStr">
        <is>
          <t>Sithum</t>
        </is>
      </c>
      <c r="D44" s="10" t="n">
        <v>200203200899</v>
      </c>
      <c r="E44" s="11" t="inlineStr">
        <is>
          <t>0760580735</t>
        </is>
      </c>
      <c r="F44" s="16" t="inlineStr">
        <is>
          <t>N/A</t>
        </is>
      </c>
    </row>
    <row r="45">
      <c r="A45" s="21" t="inlineStr">
        <is>
          <t>nkwithana@gmail.com</t>
        </is>
      </c>
      <c r="B45" s="21" t="inlineStr">
        <is>
          <t>Nayani</t>
        </is>
      </c>
      <c r="C45" s="21" t="inlineStr">
        <is>
          <t>Vithana</t>
        </is>
      </c>
      <c r="D45" s="14" t="n">
        <v>200475904052</v>
      </c>
      <c r="E45" s="22" t="n">
        <v>712771105</v>
      </c>
      <c r="F45" s="20" t="n">
        <v>102621441</v>
      </c>
    </row>
    <row r="46">
      <c r="A46" s="25" t="inlineStr">
        <is>
          <t xml:space="preserve"> en25300317@my.sliit.lk</t>
        </is>
      </c>
      <c r="B46" s="25" t="inlineStr">
        <is>
          <t>pamudu</t>
        </is>
      </c>
      <c r="C46" s="25" t="inlineStr">
        <is>
          <t>karunarathna</t>
        </is>
      </c>
      <c r="D46" s="10" t="n">
        <v>200415100671</v>
      </c>
      <c r="E46" s="26" t="n">
        <v>778231138</v>
      </c>
      <c r="F46" s="20" t="n">
        <v>102620880</v>
      </c>
    </row>
    <row r="47">
      <c r="A47" s="13" t="inlineStr">
        <is>
          <t>warshanaweerasooriya440@gmail.com</t>
        </is>
      </c>
      <c r="B47" s="13" t="inlineStr">
        <is>
          <t>Warshana</t>
        </is>
      </c>
      <c r="C47" s="13" t="inlineStr">
        <is>
          <t>weerasooriya</t>
        </is>
      </c>
      <c r="D47" s="14" t="n">
        <v>200614300410</v>
      </c>
      <c r="E47" s="15" t="inlineStr">
        <is>
          <t>0740484611</t>
        </is>
      </c>
      <c r="F47" s="16" t="inlineStr">
        <is>
          <t>N/A</t>
        </is>
      </c>
    </row>
    <row r="48">
      <c r="A48" s="9" t="inlineStr">
        <is>
          <t>en25100345@my.sliit.lk</t>
        </is>
      </c>
      <c r="B48" s="9" t="inlineStr">
        <is>
          <t>charuni</t>
        </is>
      </c>
      <c r="C48" s="9" t="inlineStr">
        <is>
          <t>thushara</t>
        </is>
      </c>
      <c r="D48" s="10" t="n">
        <v>200268701323</v>
      </c>
      <c r="E48" s="23" t="n">
        <v>767431012</v>
      </c>
      <c r="F48" s="12" t="n">
        <v>102606863</v>
      </c>
    </row>
    <row r="49">
      <c r="A49" s="13" t="inlineStr">
        <is>
          <t>en25300189@my.sliit.lk</t>
        </is>
      </c>
      <c r="B49" s="13" t="inlineStr">
        <is>
          <t>Nevishka</t>
        </is>
      </c>
      <c r="C49" s="13" t="inlineStr">
        <is>
          <t>Jayasinghe</t>
        </is>
      </c>
      <c r="D49" s="14" t="n">
        <v>200503500679</v>
      </c>
      <c r="E49" s="15" t="inlineStr">
        <is>
          <t>0707430124</t>
        </is>
      </c>
      <c r="F49" s="20" t="n">
        <v>102545514</v>
      </c>
    </row>
    <row r="50">
      <c r="A50" s="27" t="inlineStr">
        <is>
          <t>achirakaru2002@gmail.com</t>
        </is>
      </c>
      <c r="B50" s="17" t="inlineStr">
        <is>
          <t>Achira</t>
        </is>
      </c>
      <c r="C50" s="17" t="inlineStr">
        <is>
          <t>Karunarathne</t>
        </is>
      </c>
      <c r="D50" s="18" t="n">
        <v>200227003094</v>
      </c>
      <c r="E50" s="28" t="n">
        <v>766409852</v>
      </c>
      <c r="F50" s="20" t="n">
        <v>102024736</v>
      </c>
    </row>
    <row r="51">
      <c r="A51" s="27" t="inlineStr">
        <is>
          <t>chamudirashmikawelikanna@gmail.com</t>
        </is>
      </c>
      <c r="B51" s="17" t="inlineStr">
        <is>
          <t>Chamudi</t>
        </is>
      </c>
      <c r="C51" s="17" t="inlineStr">
        <is>
          <t>Welikanna</t>
        </is>
      </c>
      <c r="D51" s="18" t="n">
        <v>200367600589</v>
      </c>
      <c r="E51" s="28" t="n">
        <v>705334261</v>
      </c>
      <c r="F51" s="20" t="n">
        <v>102017314</v>
      </c>
    </row>
    <row r="52">
      <c r="A52" s="17" t="inlineStr">
        <is>
          <t>sithumsathsara111@gmail.com</t>
        </is>
      </c>
      <c r="B52" s="17" t="inlineStr">
        <is>
          <t>Sithum</t>
        </is>
      </c>
      <c r="C52" s="17" t="inlineStr">
        <is>
          <t>Sathsara</t>
        </is>
      </c>
      <c r="D52" s="18" t="n">
        <v>2003148110564</v>
      </c>
      <c r="E52" s="28" t="n">
        <v>765774721</v>
      </c>
      <c r="F52" s="20" t="n">
        <v>101099311</v>
      </c>
    </row>
    <row r="53">
      <c r="A53" s="29" t="inlineStr">
        <is>
          <t>thilakarathneskth@gmail.com</t>
        </is>
      </c>
      <c r="B53" s="13" t="inlineStr">
        <is>
          <t>Tharaka</t>
        </is>
      </c>
      <c r="C53" s="13" t="inlineStr">
        <is>
          <t xml:space="preserve"> Hashan</t>
        </is>
      </c>
      <c r="D53" s="14" t="n">
        <v>200305300832</v>
      </c>
      <c r="E53" s="24" t="inlineStr">
        <is>
          <t xml:space="preserve">72 8350607 </t>
        </is>
      </c>
      <c r="F53" s="20" t="n">
        <v>102309418</v>
      </c>
    </row>
    <row r="54">
      <c r="A54" s="9" t="inlineStr">
        <is>
          <t xml:space="preserve">gethma2005@gmail.com </t>
        </is>
      </c>
      <c r="B54" s="9" t="inlineStr">
        <is>
          <t xml:space="preserve">Gethma </t>
        </is>
      </c>
      <c r="C54" s="9" t="inlineStr">
        <is>
          <t>Chathmini</t>
        </is>
      </c>
      <c r="D54" s="10" t="n">
        <v>200556801916</v>
      </c>
      <c r="E54" s="23" t="n">
        <v>788082082</v>
      </c>
      <c r="F54" s="20" t="n">
        <v>102585493</v>
      </c>
    </row>
    <row r="55">
      <c r="A55" s="13" t="inlineStr">
        <is>
          <t>nimashadharmadasa1222@gmail.com</t>
        </is>
      </c>
      <c r="B55" s="21" t="inlineStr">
        <is>
          <t>Nimasha</t>
        </is>
      </c>
      <c r="C55" s="21" t="inlineStr">
        <is>
          <t>Dharmadasa</t>
        </is>
      </c>
      <c r="D55" s="14" t="n">
        <v>200485704063</v>
      </c>
      <c r="E55" s="22" t="n">
        <v>703344070</v>
      </c>
      <c r="F55" s="20" t="n">
        <v>102615413</v>
      </c>
    </row>
    <row r="56">
      <c r="A56" s="9" t="inlineStr">
        <is>
          <t>Anjanaayomal@gmail.com</t>
        </is>
      </c>
      <c r="B56" s="25" t="inlineStr">
        <is>
          <t>Anjana</t>
        </is>
      </c>
      <c r="C56" s="25" t="inlineStr">
        <is>
          <t>Ayomal</t>
        </is>
      </c>
      <c r="D56" s="10" t="n">
        <v>200331512769</v>
      </c>
      <c r="E56" s="26" t="n">
        <v>764360502</v>
      </c>
      <c r="F56" s="20" t="n">
        <v>102610683</v>
      </c>
    </row>
    <row r="57">
      <c r="A57" s="9" t="inlineStr">
        <is>
          <t xml:space="preserve">en25300403@my.sliit.lk </t>
        </is>
      </c>
      <c r="B57" s="25" t="inlineStr">
        <is>
          <t>Nafees</t>
        </is>
      </c>
      <c r="C57" s="30" t="n"/>
      <c r="D57" s="10" t="n">
        <v>200319612178</v>
      </c>
      <c r="E57" s="23" t="n">
        <v>715768567</v>
      </c>
      <c r="F57" s="31" t="inlineStr">
        <is>
          <t>N/A</t>
        </is>
      </c>
    </row>
    <row r="58">
      <c r="A58" s="32" t="inlineStr">
        <is>
          <t>en25300227@my.sliit.lk</t>
        </is>
      </c>
      <c r="B58" s="32" t="inlineStr">
        <is>
          <t>Neihan</t>
        </is>
      </c>
      <c r="C58" s="32" t="inlineStr">
        <is>
          <t>Rodrigo</t>
        </is>
      </c>
      <c r="D58" s="18" t="n">
        <v>200526601434</v>
      </c>
      <c r="E58" s="28" t="n">
        <v>763748008</v>
      </c>
      <c r="F58" s="16" t="inlineStr">
        <is>
          <t>N/A</t>
        </is>
      </c>
    </row>
    <row r="59">
      <c r="A59" s="21" t="inlineStr">
        <is>
          <t>dulni3s@gmail.com</t>
        </is>
      </c>
      <c r="B59" s="21" t="inlineStr">
        <is>
          <t>Dulni</t>
        </is>
      </c>
      <c r="C59" s="21" t="inlineStr">
        <is>
          <t>Gehara</t>
        </is>
      </c>
      <c r="D59" s="14" t="n">
        <v>200563201476</v>
      </c>
      <c r="E59" s="22" t="n">
        <v>704306547</v>
      </c>
      <c r="F59" s="20" t="n">
        <v>102570326</v>
      </c>
    </row>
    <row r="60">
      <c r="A60" s="25" t="inlineStr">
        <is>
          <t>nethuweerathungaofficial2005@gmail.com</t>
        </is>
      </c>
      <c r="B60" s="25" t="inlineStr">
        <is>
          <t>Nethmi</t>
        </is>
      </c>
      <c r="C60" s="25" t="inlineStr">
        <is>
          <t>Weerathunga</t>
        </is>
      </c>
      <c r="D60" s="10" t="n">
        <v>200565001636</v>
      </c>
      <c r="E60" s="26" t="n">
        <v>717472983</v>
      </c>
      <c r="F60" s="20" t="n">
        <v>102611923</v>
      </c>
    </row>
    <row r="61">
      <c r="A61" s="21" t="inlineStr">
        <is>
          <t>sisinagunasekara@gmail.com</t>
        </is>
      </c>
      <c r="B61" s="21" t="inlineStr">
        <is>
          <t>Sisina</t>
        </is>
      </c>
      <c r="C61" s="21" t="inlineStr">
        <is>
          <t>Gunasekara</t>
        </is>
      </c>
      <c r="D61" s="14" t="n">
        <v>200509301019</v>
      </c>
      <c r="E61" s="22" t="n">
        <v>756318740</v>
      </c>
      <c r="F61" s="20" t="n">
        <v>102570196</v>
      </c>
    </row>
  </sheetData>
  <hyperlinks>
    <hyperlink xmlns:r="http://schemas.openxmlformats.org/officeDocument/2006/relationships" ref="A50" r:id="rId1"/>
    <hyperlink xmlns:r="http://schemas.openxmlformats.org/officeDocument/2006/relationships" ref="A51" r:id="rId2"/>
    <hyperlink xmlns:r="http://schemas.openxmlformats.org/officeDocument/2006/relationships" ref="A53" r:id="rId3"/>
  </hyperlinks>
  <pageMargins left="0.75" right="0.75" top="1" bottom="1" header="0.5" footer="0.5"/>
  <tableParts count="1">
    <tablePart xmlns:r="http://schemas.openxmlformats.org/officeDocument/2006/relationships" r:id="rId4"/>
  </tableParts>
</worksheet>
</file>

<file path=xl/worksheets/sheet4.xml><?xml version="1.0" encoding="utf-8"?>
<worksheet xmlns="http://schemas.openxmlformats.org/spreadsheetml/2006/main">
  <sheetPr>
    <outlinePr summaryBelow="0" summaryRight="0"/>
    <pageSetUpPr/>
  </sheetPr>
  <dimension ref="A1:H28"/>
  <sheetViews>
    <sheetView workbookViewId="0">
      <selection activeCell="A1" sqref="A1"/>
    </sheetView>
  </sheetViews>
  <sheetFormatPr baseColWidth="8" defaultColWidth="14.43" defaultRowHeight="15.75" customHeight="1"/>
  <cols>
    <col width="18.14" customWidth="1" style="108" min="2" max="2"/>
    <col width="33.43" customWidth="1" style="108" min="3" max="3"/>
    <col width="19.71" customWidth="1" style="108" min="6" max="6"/>
  </cols>
  <sheetData>
    <row r="1">
      <c r="A1" s="33" t="inlineStr">
        <is>
          <t>Name (First and Surname)</t>
        </is>
      </c>
      <c r="B1" s="33" t="inlineStr">
        <is>
          <t>NIC number</t>
        </is>
      </c>
      <c r="C1" s="33" t="inlineStr">
        <is>
          <t>Email Address</t>
        </is>
      </c>
      <c r="D1" s="33" t="inlineStr">
        <is>
          <t>Academic Year (Ex- Y1S2)</t>
        </is>
      </c>
      <c r="E1" s="33" t="inlineStr">
        <is>
          <t>Registration Number (Ex - EN12345678)</t>
        </is>
      </c>
      <c r="F1" s="33" t="inlineStr">
        <is>
          <t>IEEE Membership Number</t>
        </is>
      </c>
      <c r="G1" s="33" t="inlineStr">
        <is>
          <t>Faculty</t>
        </is>
      </c>
      <c r="H1" s="33" t="inlineStr">
        <is>
          <t>Phone Number (Whatsapp)</t>
        </is>
      </c>
    </row>
    <row r="2">
      <c r="A2" s="34" t="inlineStr">
        <is>
          <t>Lakvidu Rathnayake</t>
        </is>
      </c>
      <c r="B2" s="35" t="inlineStr">
        <is>
          <t>2.00E+11</t>
        </is>
      </c>
      <c r="C2" s="34" t="inlineStr">
        <is>
          <t>lakviduuparasa@gmail.com</t>
        </is>
      </c>
      <c r="D2" s="34" t="inlineStr">
        <is>
          <t>Y3S2</t>
        </is>
      </c>
      <c r="E2" s="34" t="inlineStr">
        <is>
          <t>IT23580930</t>
        </is>
      </c>
      <c r="F2" s="36" t="n">
        <v>102622173</v>
      </c>
      <c r="G2" s="34" t="inlineStr">
        <is>
          <t>Faculty of computing</t>
        </is>
      </c>
      <c r="H2" s="34" t="n">
        <v>719277149</v>
      </c>
    </row>
    <row r="3">
      <c r="A3" s="37" t="inlineStr">
        <is>
          <t>Kahil Cuttilan</t>
        </is>
      </c>
      <c r="B3" s="38" t="inlineStr">
        <is>
          <t>2.01E+11</t>
        </is>
      </c>
      <c r="C3" s="37" t="inlineStr">
        <is>
          <t>kahilzaman@gmail.com</t>
        </is>
      </c>
      <c r="D3" s="37" t="inlineStr">
        <is>
          <t>Y2S1</t>
        </is>
      </c>
      <c r="E3" s="37" t="inlineStr">
        <is>
          <t>EN25300504</t>
        </is>
      </c>
      <c r="F3" s="39" t="n">
        <v>102543953</v>
      </c>
      <c r="G3" s="37" t="inlineStr">
        <is>
          <t>Faculty of Engineering</t>
        </is>
      </c>
      <c r="H3" s="37" t="n">
        <v>768448498</v>
      </c>
    </row>
    <row r="4">
      <c r="A4" s="49" t="inlineStr">
        <is>
          <t>Nadun Siriwardhana</t>
        </is>
      </c>
      <c r="B4" s="41" t="inlineStr">
        <is>
          <t>2.00E+11</t>
        </is>
      </c>
      <c r="C4" s="49" t="inlineStr">
        <is>
          <t>en25300001@my.sliit.lk</t>
        </is>
      </c>
      <c r="D4" s="49" t="inlineStr">
        <is>
          <t>Y2S1</t>
        </is>
      </c>
      <c r="E4" s="49" t="inlineStr">
        <is>
          <t>EN25300001</t>
        </is>
      </c>
      <c r="F4" s="42" t="n">
        <v>102602232</v>
      </c>
      <c r="G4" s="49" t="inlineStr">
        <is>
          <t>Faculty of Engineering</t>
        </is>
      </c>
      <c r="H4" s="49" t="n">
        <v>743753208</v>
      </c>
    </row>
    <row r="5">
      <c r="A5" s="49" t="inlineStr">
        <is>
          <t>ANJANA AYOMAL</t>
        </is>
      </c>
      <c r="B5" s="41" t="inlineStr">
        <is>
          <t>2.00E+11</t>
        </is>
      </c>
      <c r="C5" s="49" t="inlineStr">
        <is>
          <t>Anjanaayomal@gmail.com</t>
        </is>
      </c>
      <c r="D5" s="49" t="inlineStr">
        <is>
          <t>Y2S2</t>
        </is>
      </c>
      <c r="E5" s="49" t="inlineStr">
        <is>
          <t>EN25300539</t>
        </is>
      </c>
      <c r="F5" s="42" t="n">
        <v>102610683</v>
      </c>
      <c r="G5" s="49" t="inlineStr">
        <is>
          <t>Faculty of Engineering</t>
        </is>
      </c>
      <c r="H5" s="49" t="n">
        <v>764360502</v>
      </c>
    </row>
    <row r="6">
      <c r="A6" s="49" t="inlineStr">
        <is>
          <t>Danwaththa D.L.D.N</t>
        </is>
      </c>
      <c r="B6" s="41" t="inlineStr">
        <is>
          <t>2.01E+11</t>
        </is>
      </c>
      <c r="C6" s="49" t="inlineStr">
        <is>
          <t>thisfordhanuka2005@gmail.com</t>
        </is>
      </c>
      <c r="D6" s="49" t="inlineStr">
        <is>
          <t>Y2S1</t>
        </is>
      </c>
      <c r="E6" s="49" t="inlineStr">
        <is>
          <t>EN25300551</t>
        </is>
      </c>
      <c r="F6" s="42" t="n">
        <v>102621461</v>
      </c>
      <c r="G6" s="49" t="inlineStr">
        <is>
          <t>Faculty of Engineering</t>
        </is>
      </c>
      <c r="H6" s="49" t="n">
        <v>762769259</v>
      </c>
    </row>
    <row r="7">
      <c r="A7" s="49" t="inlineStr">
        <is>
          <t>Randil Gunarathna</t>
        </is>
      </c>
      <c r="B7" s="41" t="inlineStr">
        <is>
          <t>2.00E+11</t>
        </is>
      </c>
      <c r="C7" s="49" t="inlineStr">
        <is>
          <t>randilsanjana036@gmail.com</t>
        </is>
      </c>
      <c r="D7" s="49" t="inlineStr">
        <is>
          <t>Y2S1</t>
        </is>
      </c>
      <c r="E7" s="49" t="inlineStr">
        <is>
          <t>EN25300076</t>
        </is>
      </c>
      <c r="F7" s="42" t="n">
        <v>102545641</v>
      </c>
      <c r="G7" s="49" t="inlineStr">
        <is>
          <t>Faculty of Engineering</t>
        </is>
      </c>
      <c r="H7" s="49" t="n">
        <v>704366238</v>
      </c>
    </row>
    <row r="8">
      <c r="A8" s="37" t="inlineStr">
        <is>
          <t>Sajanee Bandara</t>
        </is>
      </c>
      <c r="B8" s="38" t="inlineStr">
        <is>
          <t>2.00E+11</t>
        </is>
      </c>
      <c r="C8" s="37" t="inlineStr">
        <is>
          <t>sajanidhananjana2004@gmail.com</t>
        </is>
      </c>
      <c r="D8" s="37" t="inlineStr">
        <is>
          <t>Y2S1</t>
        </is>
      </c>
      <c r="E8" s="37" t="inlineStr">
        <is>
          <t>EN25300527</t>
        </is>
      </c>
      <c r="F8" s="39" t="n">
        <v>102625813</v>
      </c>
      <c r="G8" s="37" t="inlineStr">
        <is>
          <t>Faculty of Engineering</t>
        </is>
      </c>
      <c r="H8" s="37" t="n">
        <v>711213484</v>
      </c>
    </row>
    <row r="9">
      <c r="A9" s="50" t="inlineStr">
        <is>
          <t>Himasari M.M.P.W</t>
        </is>
      </c>
      <c r="B9" s="44" t="inlineStr">
        <is>
          <t>2.00E+11</t>
        </is>
      </c>
      <c r="C9" s="50" t="inlineStr">
        <is>
          <t>en25300181@my.sliit.lk</t>
        </is>
      </c>
      <c r="D9" s="50" t="inlineStr">
        <is>
          <t>Y2S1</t>
        </is>
      </c>
      <c r="E9" s="50" t="inlineStr">
        <is>
          <t>EN25300181</t>
        </is>
      </c>
      <c r="F9" s="45" t="n">
        <v>102566930</v>
      </c>
      <c r="G9" s="50" t="inlineStr">
        <is>
          <t>Faculty of Engineering</t>
        </is>
      </c>
      <c r="H9" s="50" t="n">
        <v>715947496</v>
      </c>
    </row>
    <row r="10">
      <c r="A10" s="49" t="inlineStr">
        <is>
          <t>G.A.Yumal Lakmitha</t>
        </is>
      </c>
      <c r="B10" s="41" t="inlineStr">
        <is>
          <t>2.01E+11</t>
        </is>
      </c>
      <c r="C10" s="49" t="inlineStr">
        <is>
          <t>yumallakmitha@gmail.com</t>
        </is>
      </c>
      <c r="D10" s="49" t="inlineStr">
        <is>
          <t>Y2S1</t>
        </is>
      </c>
      <c r="E10" s="49" t="inlineStr">
        <is>
          <t>EN25300302</t>
        </is>
      </c>
      <c r="F10" s="42" t="n">
        <v>102237850</v>
      </c>
      <c r="G10" s="49" t="inlineStr">
        <is>
          <t>Faculty of Engineering</t>
        </is>
      </c>
      <c r="H10" s="49" t="n">
        <v>779358820</v>
      </c>
    </row>
    <row r="11">
      <c r="A11" s="50" t="inlineStr">
        <is>
          <t>Anbuchselvan Sharvessh Alakaraj</t>
        </is>
      </c>
      <c r="B11" s="44" t="inlineStr">
        <is>
          <t>2.01E+11</t>
        </is>
      </c>
      <c r="C11" s="50" t="inlineStr">
        <is>
          <t>A.SharvesshAlakaraj@yahoo.com</t>
        </is>
      </c>
      <c r="D11" s="50" t="inlineStr">
        <is>
          <t>Y2S1</t>
        </is>
      </c>
      <c r="E11" s="50" t="inlineStr">
        <is>
          <t>IT25103183</t>
        </is>
      </c>
      <c r="F11" s="45" t="n">
        <v>102238110</v>
      </c>
      <c r="G11" s="50" t="inlineStr">
        <is>
          <t>Faculty of computing</t>
        </is>
      </c>
      <c r="H11" s="50" t="n">
        <v>771432469</v>
      </c>
    </row>
    <row r="12">
      <c r="A12" s="49" t="inlineStr">
        <is>
          <t>Thisara Ediriweera</t>
        </is>
      </c>
      <c r="B12" s="41" t="inlineStr">
        <is>
          <t>2.00E+11</t>
        </is>
      </c>
      <c r="C12" s="49" t="inlineStr">
        <is>
          <t>en25300242@my.sliit.lk</t>
        </is>
      </c>
      <c r="D12" s="49" t="inlineStr">
        <is>
          <t>Y2S1</t>
        </is>
      </c>
      <c r="E12" s="49" t="inlineStr">
        <is>
          <t>EN25300242</t>
        </is>
      </c>
      <c r="F12" s="42" t="n">
        <v>102621893</v>
      </c>
      <c r="G12" s="49" t="inlineStr">
        <is>
          <t>Faculty of Engineering</t>
        </is>
      </c>
      <c r="H12" s="49" t="n">
        <v>701203201</v>
      </c>
    </row>
    <row r="13">
      <c r="A13" s="50" t="inlineStr">
        <is>
          <t>Pamudu Karunarathna</t>
        </is>
      </c>
      <c r="B13" s="44" t="inlineStr">
        <is>
          <t>2.00E+11</t>
        </is>
      </c>
      <c r="C13" s="50" t="inlineStr">
        <is>
          <t>en25300317@my.sliit.lk</t>
        </is>
      </c>
      <c r="D13" s="50" t="inlineStr">
        <is>
          <t>Y1S2</t>
        </is>
      </c>
      <c r="E13" s="50" t="inlineStr">
        <is>
          <t>EN25300317</t>
        </is>
      </c>
      <c r="F13" s="45" t="n">
        <v>102620880</v>
      </c>
      <c r="G13" s="50" t="inlineStr">
        <is>
          <t>Faculty of Engineering</t>
        </is>
      </c>
      <c r="H13" s="50" t="n">
        <v>778231138</v>
      </c>
    </row>
    <row r="14">
      <c r="A14" s="34" t="inlineStr">
        <is>
          <t>Oshan Rajakaruna</t>
        </is>
      </c>
      <c r="B14" s="35" t="inlineStr">
        <is>
          <t>2.00E+11</t>
        </is>
      </c>
      <c r="C14" s="34" t="inlineStr">
        <is>
          <t>oshanrajakaruna.studies@gmail.com</t>
        </is>
      </c>
      <c r="D14" s="34" t="inlineStr">
        <is>
          <t>Y3S2</t>
        </is>
      </c>
      <c r="E14" s="34" t="inlineStr">
        <is>
          <t>IT23860650</t>
        </is>
      </c>
      <c r="F14" s="36" t="n">
        <v>102622026</v>
      </c>
      <c r="G14" s="34" t="inlineStr">
        <is>
          <t>Faculty of computing</t>
        </is>
      </c>
      <c r="H14" s="34" t="n">
        <v>703165099</v>
      </c>
    </row>
    <row r="15">
      <c r="A15" s="49" t="inlineStr">
        <is>
          <t>Kaveesha Anujith De Silva</t>
        </is>
      </c>
      <c r="B15" s="41" t="inlineStr">
        <is>
          <t>2.00E+11</t>
        </is>
      </c>
      <c r="C15" s="49" t="inlineStr">
        <is>
          <t>tgkanujith@gmail.com</t>
        </is>
      </c>
      <c r="D15" s="49" t="inlineStr">
        <is>
          <t>Y2S1</t>
        </is>
      </c>
      <c r="E15" s="49" t="inlineStr">
        <is>
          <t>EN25300532</t>
        </is>
      </c>
      <c r="F15" s="42" t="n">
        <v>102543802</v>
      </c>
      <c r="G15" s="49" t="inlineStr">
        <is>
          <t>Faculty of Engineering</t>
        </is>
      </c>
      <c r="H15" s="49" t="n">
        <v>781646772</v>
      </c>
    </row>
    <row r="16">
      <c r="A16" s="50" t="inlineStr">
        <is>
          <t>Nevishka Jayasinghe</t>
        </is>
      </c>
      <c r="B16" s="44" t="inlineStr">
        <is>
          <t>2.01E+11</t>
        </is>
      </c>
      <c r="C16" s="50" t="inlineStr">
        <is>
          <t>en25300189@my.sliit.lk</t>
        </is>
      </c>
      <c r="D16" s="50" t="inlineStr">
        <is>
          <t>Y2S1</t>
        </is>
      </c>
      <c r="E16" s="50" t="inlineStr">
        <is>
          <t>EN25300189</t>
        </is>
      </c>
      <c r="F16" s="45" t="n">
        <v>102545514</v>
      </c>
      <c r="G16" s="50" t="inlineStr">
        <is>
          <t>Faculty of Engineering</t>
        </is>
      </c>
      <c r="H16" s="50" t="n">
        <v>707430124</v>
      </c>
    </row>
    <row r="17">
      <c r="A17" s="49" t="inlineStr">
        <is>
          <t>Roneth Asvin</t>
        </is>
      </c>
      <c r="B17" s="41" t="inlineStr">
        <is>
          <t>2.00E+11</t>
        </is>
      </c>
      <c r="C17" s="49" t="inlineStr">
        <is>
          <t>asvinroneth@gmail.com</t>
        </is>
      </c>
      <c r="D17" s="49" t="inlineStr">
        <is>
          <t>Y2S1</t>
        </is>
      </c>
      <c r="E17" s="49" t="inlineStr">
        <is>
          <t>EN25300449</t>
        </is>
      </c>
      <c r="F17" s="42" t="n">
        <v>102571882</v>
      </c>
      <c r="G17" s="49" t="inlineStr">
        <is>
          <t>Faculty of Engineering</t>
        </is>
      </c>
      <c r="H17" s="49" t="n">
        <v>764215348</v>
      </c>
    </row>
    <row r="18">
      <c r="A18" s="50" t="inlineStr">
        <is>
          <t>Neluki Balasooriya</t>
        </is>
      </c>
      <c r="B18" s="44" t="inlineStr">
        <is>
          <t>2.01E+11</t>
        </is>
      </c>
      <c r="C18" s="50" t="inlineStr">
        <is>
          <t>nelukibalasooriya@gmail.com</t>
        </is>
      </c>
      <c r="D18" s="50" t="inlineStr">
        <is>
          <t>Y2S1</t>
        </is>
      </c>
      <c r="E18" s="50" t="inlineStr">
        <is>
          <t>EN25300176</t>
        </is>
      </c>
      <c r="F18" s="45" t="n">
        <v>102203470</v>
      </c>
      <c r="G18" s="50" t="inlineStr">
        <is>
          <t>Faculty of Engineering</t>
        </is>
      </c>
      <c r="H18" s="45" t="n">
        <v>755440008</v>
      </c>
    </row>
    <row r="19">
      <c r="A19" s="49" t="inlineStr">
        <is>
          <t>Dulni Gehara</t>
        </is>
      </c>
      <c r="B19" s="46" t="inlineStr">
        <is>
          <t>2.01E+11</t>
        </is>
      </c>
      <c r="C19" s="49" t="n"/>
      <c r="D19" s="49" t="inlineStr">
        <is>
          <t>Y2S1</t>
        </is>
      </c>
      <c r="E19" s="49" t="inlineStr">
        <is>
          <t>EN25300338</t>
        </is>
      </c>
      <c r="F19" s="42" t="n">
        <v>102570326</v>
      </c>
      <c r="G19" s="49" t="inlineStr">
        <is>
          <t>Faculty of Engineering</t>
        </is>
      </c>
      <c r="H19" s="49" t="inlineStr">
        <is>
          <t>070 430 6547</t>
        </is>
      </c>
    </row>
    <row r="20">
      <c r="A20" s="50" t="inlineStr">
        <is>
          <t>Laksri Senura Pulukkuttiarachchi</t>
        </is>
      </c>
      <c r="B20" s="44" t="inlineStr">
        <is>
          <t>2.01E+11</t>
        </is>
      </c>
      <c r="C20" s="50" t="inlineStr">
        <is>
          <t>laksrisenura@gmail.com</t>
        </is>
      </c>
      <c r="D20" s="50" t="inlineStr">
        <is>
          <t>Y2S1</t>
        </is>
      </c>
      <c r="E20" s="50" t="inlineStr">
        <is>
          <t>IT25103093</t>
        </is>
      </c>
      <c r="F20" s="45" t="n">
        <v>102543830</v>
      </c>
      <c r="G20" s="50" t="inlineStr">
        <is>
          <t>Faculty of computing</t>
        </is>
      </c>
      <c r="H20" s="50" t="n">
        <v>770157283</v>
      </c>
    </row>
    <row r="21">
      <c r="A21" s="48" t="inlineStr">
        <is>
          <t>Shageeshan</t>
        </is>
      </c>
      <c r="B21" s="46" t="inlineStr">
        <is>
          <t>200423302190</t>
        </is>
      </c>
      <c r="C21" s="48" t="inlineStr">
        <is>
          <t>shageejoxtyn@gmail.com</t>
        </is>
      </c>
      <c r="D21" s="48" t="inlineStr">
        <is>
          <t>Y3S1</t>
        </is>
      </c>
      <c r="E21" s="48" t="n"/>
      <c r="F21" s="48" t="n"/>
      <c r="G21" s="48" t="n"/>
      <c r="H21" s="48" t="n"/>
    </row>
    <row r="22">
      <c r="A22" s="48" t="n"/>
      <c r="B22" s="48" t="n"/>
      <c r="C22" s="48" t="n"/>
      <c r="D22" s="48" t="n"/>
      <c r="E22" s="48" t="n"/>
      <c r="F22" s="48" t="n"/>
      <c r="G22" s="48" t="n"/>
      <c r="H22" s="48" t="n"/>
    </row>
    <row r="23">
      <c r="A23" s="48" t="n"/>
      <c r="B23" s="48" t="n"/>
      <c r="C23" s="48" t="n"/>
      <c r="D23" s="48" t="n"/>
      <c r="E23" s="48" t="n"/>
      <c r="F23" s="48" t="n"/>
      <c r="G23" s="48" t="n"/>
      <c r="H23" s="48" t="n"/>
    </row>
    <row r="24">
      <c r="A24" s="49" t="n"/>
      <c r="B24" s="49" t="n"/>
      <c r="C24" s="49" t="n"/>
      <c r="D24" s="49" t="n"/>
      <c r="E24" s="49" t="n"/>
      <c r="F24" s="49" t="n"/>
      <c r="G24" s="50" t="n"/>
      <c r="H24" s="49" t="n"/>
    </row>
    <row r="25">
      <c r="A25" s="50" t="n"/>
      <c r="B25" s="51" t="n"/>
      <c r="C25" s="50" t="n"/>
      <c r="D25" s="50" t="n"/>
      <c r="E25" s="50" t="n"/>
      <c r="F25" s="45" t="n"/>
      <c r="G25" s="50" t="n"/>
      <c r="H25" s="50" t="n"/>
    </row>
    <row r="26">
      <c r="A26" s="49" t="n"/>
      <c r="B26" s="52" t="n"/>
      <c r="C26" s="49" t="n"/>
      <c r="D26" s="49" t="n"/>
      <c r="E26" s="49" t="n"/>
      <c r="F26" s="42" t="n"/>
      <c r="G26" s="49" t="n"/>
      <c r="H26" s="49" t="n"/>
    </row>
    <row r="27">
      <c r="A27" s="49" t="n"/>
      <c r="B27" s="52" t="n"/>
      <c r="C27" s="49" t="n"/>
      <c r="D27" s="49" t="n"/>
      <c r="E27" s="49" t="n"/>
      <c r="F27" s="42" t="n"/>
      <c r="G27" s="49" t="n"/>
      <c r="H27" s="49" t="n"/>
    </row>
    <row r="28">
      <c r="A28" s="53" t="n"/>
      <c r="B28" s="54" t="n"/>
      <c r="C28" s="53" t="n"/>
      <c r="D28" s="53" t="n"/>
      <c r="E28" s="53" t="n"/>
      <c r="F28" s="55" t="n"/>
      <c r="G28" s="53" t="n"/>
      <c r="H28" s="5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0"/>
  <sheetViews>
    <sheetView workbookViewId="0">
      <selection activeCell="A1" sqref="A1"/>
    </sheetView>
  </sheetViews>
  <sheetFormatPr baseColWidth="8" defaultColWidth="14.43" defaultRowHeight="15.75" customHeight="1"/>
  <cols>
    <col width="8.710000000000001" customWidth="1" style="108" min="1" max="10"/>
    <col width="11.71" customWidth="1" style="108" min="11" max="11"/>
    <col width="8.710000000000001" customWidth="1" style="108" min="12" max="26"/>
  </cols>
  <sheetData>
    <row r="1" ht="14.25" customHeight="1" s="108">
      <c r="B1" s="56" t="inlineStr">
        <is>
          <t>Status</t>
        </is>
      </c>
      <c r="C1" s="57" t="inlineStr">
        <is>
          <t>#</t>
        </is>
      </c>
      <c r="D1" s="57" t="inlineStr">
        <is>
          <t>Full Name</t>
        </is>
      </c>
      <c r="E1" s="57" t="inlineStr">
        <is>
          <t>Email Address</t>
        </is>
      </c>
      <c r="F1" s="57" t="inlineStr">
        <is>
          <t>WhatsApp Number</t>
        </is>
      </c>
      <c r="G1" s="57" t="inlineStr">
        <is>
          <t>NIC Number</t>
        </is>
      </c>
      <c r="H1" s="57" t="inlineStr">
        <is>
          <t>Degree Program</t>
        </is>
      </c>
      <c r="I1" s="57" t="inlineStr">
        <is>
          <t>Year of Study</t>
        </is>
      </c>
      <c r="J1" s="57" t="inlineStr">
        <is>
          <t>Gender</t>
        </is>
      </c>
      <c r="K1" s="57" t="inlineStr">
        <is>
          <t>Pass Tier</t>
        </is>
      </c>
      <c r="L1" s="57" t="inlineStr">
        <is>
          <t>IEEE Member</t>
        </is>
      </c>
      <c r="M1" s="57" t="inlineStr">
        <is>
          <t>IEEE Membership No</t>
        </is>
      </c>
      <c r="N1" s="57" t="inlineStr">
        <is>
          <t>Active Chapter Volunteer</t>
        </is>
      </c>
      <c r="O1" s="57" t="inlineStr">
        <is>
          <t>Active OC / Team</t>
        </is>
      </c>
      <c r="P1" s="57" t="inlineStr">
        <is>
          <t>Dietary Preference</t>
        </is>
      </c>
      <c r="Q1" s="57" t="inlineStr">
        <is>
          <t>Ticket Code</t>
        </is>
      </c>
      <c r="R1" s="57" t="inlineStr">
        <is>
          <t>Registration Status</t>
        </is>
      </c>
      <c r="S1" s="57" t="inlineStr">
        <is>
          <t>Registered Timestamp (IST)</t>
        </is>
      </c>
      <c r="T1" s="57" t="inlineStr">
        <is>
          <t>Motivation</t>
        </is>
      </c>
      <c r="U1" s="57" t="inlineStr">
        <is>
          <t>Questions / Concerns</t>
        </is>
      </c>
      <c r="V1" s="57" t="inlineStr">
        <is>
          <t>Category</t>
        </is>
      </c>
    </row>
    <row r="2" ht="14.25" customHeight="1" s="108">
      <c r="A2" s="58" t="n">
        <v>1</v>
      </c>
      <c r="B2" s="59" t="inlineStr">
        <is>
          <t>Confirmed</t>
        </is>
      </c>
      <c r="C2" s="60" t="n">
        <v>43</v>
      </c>
      <c r="D2" s="61" t="inlineStr">
        <is>
          <t>Sunjai Kajendrajith</t>
        </is>
      </c>
      <c r="E2" s="62" t="inlineStr">
        <is>
          <t>sunkajendrajith@gmail.com</t>
        </is>
      </c>
      <c r="F2" s="62" t="inlineStr">
        <is>
          <t>774458024</t>
        </is>
      </c>
      <c r="G2" s="62" t="inlineStr">
        <is>
          <t>200501400542</t>
        </is>
      </c>
      <c r="H2" s="62" t="inlineStr">
        <is>
          <t>BSc (Hons) in Software Engineering</t>
        </is>
      </c>
      <c r="I2" s="62" t="inlineStr">
        <is>
          <t>3rd Year</t>
        </is>
      </c>
      <c r="J2" s="62" t="inlineStr">
        <is>
          <t>Male</t>
        </is>
      </c>
      <c r="K2" s="62" t="inlineStr">
        <is>
          <t>Priority ⭐️</t>
        </is>
      </c>
      <c r="L2" s="62" t="inlineStr">
        <is>
          <t>Yes</t>
        </is>
      </c>
      <c r="M2" s="62" t="inlineStr">
        <is>
          <t>101161193</t>
        </is>
      </c>
      <c r="N2" s="62" t="inlineStr">
        <is>
          <t>CyberShield 2026</t>
        </is>
      </c>
      <c r="O2" s="62" t="inlineStr">
        <is>
          <t>-</t>
        </is>
      </c>
      <c r="P2" s="62" t="inlineStr">
        <is>
          <t>Non-Veg</t>
        </is>
      </c>
      <c r="Q2" s="62" t="inlineStr">
        <is>
          <t>LOOP-ROOT-5D44</t>
        </is>
      </c>
      <c r="R2" s="62" t="inlineStr">
        <is>
          <t>waitlisted</t>
        </is>
      </c>
      <c r="S2" s="62" t="inlineStr">
        <is>
          <t>8/15/2026, 8:00:23 PM</t>
        </is>
      </c>
      <c r="T2" s="62" t="inlineStr">
        <is>
          <t>I have to gain skills</t>
        </is>
      </c>
      <c r="U2" s="62" t="inlineStr">
        <is>
          <t>-</t>
        </is>
      </c>
      <c r="V2" s="63" t="inlineStr">
        <is>
          <t>Cybershild + xtream and IEEE membership</t>
        </is>
      </c>
    </row>
    <row r="3" ht="14.25" customHeight="1" s="108">
      <c r="A3" s="58" t="n">
        <v>1</v>
      </c>
      <c r="B3" s="59" t="inlineStr">
        <is>
          <t>Confirmed</t>
        </is>
      </c>
      <c r="C3" s="60" t="n">
        <v>52</v>
      </c>
      <c r="D3" s="61" t="inlineStr">
        <is>
          <t>Devinda Fonseka</t>
        </is>
      </c>
      <c r="E3" s="62" t="inlineStr">
        <is>
          <t>devfon@outlook.com</t>
        </is>
      </c>
      <c r="F3" s="62" t="inlineStr">
        <is>
          <t>+94714289080</t>
        </is>
      </c>
      <c r="G3" s="62" t="inlineStr">
        <is>
          <t>200528904897</t>
        </is>
      </c>
      <c r="H3" s="62" t="inlineStr">
        <is>
          <t>BSc (Hons) in Interactive Media</t>
        </is>
      </c>
      <c r="I3" s="62" t="inlineStr">
        <is>
          <t>3rd Year</t>
        </is>
      </c>
      <c r="J3" s="62" t="inlineStr">
        <is>
          <t>Male</t>
        </is>
      </c>
      <c r="K3" s="62" t="inlineStr">
        <is>
          <t>Priority ⭐️</t>
        </is>
      </c>
      <c r="L3" s="62" t="inlineStr">
        <is>
          <t>Yes</t>
        </is>
      </c>
      <c r="M3" s="62" t="inlineStr">
        <is>
          <t>102646010</t>
        </is>
      </c>
      <c r="N3" s="62" t="inlineStr">
        <is>
          <t>CyberShield 2026</t>
        </is>
      </c>
      <c r="O3" s="62" t="inlineStr">
        <is>
          <t>-</t>
        </is>
      </c>
      <c r="P3" s="62" t="inlineStr">
        <is>
          <t>Non-Veg</t>
        </is>
      </c>
      <c r="Q3" s="62" t="inlineStr">
        <is>
          <t>LOOP-ROOT-431F</t>
        </is>
      </c>
      <c r="R3" s="62" t="inlineStr">
        <is>
          <t>waitlisted</t>
        </is>
      </c>
      <c r="S3" s="62" t="inlineStr">
        <is>
          <t>8/15/2026, 8:16:30 PM</t>
        </is>
      </c>
      <c r="T3" s="62" t="inlineStr">
        <is>
          <t>I love to explore the various opportunities, to apply the talent I store and to utilize it in a effective way</t>
        </is>
      </c>
      <c r="U3" s="62" t="inlineStr">
        <is>
          <t>-</t>
        </is>
      </c>
      <c r="V3" s="63" t="inlineStr">
        <is>
          <t>Cybershild + xtream and IEEE membership</t>
        </is>
      </c>
    </row>
    <row r="4" ht="14.25" customHeight="1" s="108">
      <c r="A4" s="58" t="n">
        <v>1</v>
      </c>
      <c r="B4" s="59" t="inlineStr">
        <is>
          <t>Confirmed</t>
        </is>
      </c>
      <c r="C4" s="60" t="n">
        <v>7</v>
      </c>
      <c r="D4" s="61" t="inlineStr">
        <is>
          <t>Senul mintharu somarathna</t>
        </is>
      </c>
      <c r="E4" s="64" t="inlineStr">
        <is>
          <t>senulmintharu@gmail.com</t>
        </is>
      </c>
      <c r="F4" s="64" t="inlineStr">
        <is>
          <t>+94716341217</t>
        </is>
      </c>
      <c r="G4" s="64" t="inlineStr">
        <is>
          <t>200428303431</t>
        </is>
      </c>
      <c r="H4" s="64" t="inlineStr">
        <is>
          <t>BSc (Hons) in Computer Science</t>
        </is>
      </c>
      <c r="I4" s="64" t="inlineStr">
        <is>
          <t>3rd Year</t>
        </is>
      </c>
      <c r="J4" s="64" t="inlineStr">
        <is>
          <t>Male</t>
        </is>
      </c>
      <c r="K4" s="64" t="inlineStr">
        <is>
          <t>Priority ⭐️</t>
        </is>
      </c>
      <c r="L4" s="64" t="inlineStr">
        <is>
          <t>No</t>
        </is>
      </c>
      <c r="M4" s="64" t="inlineStr">
        <is>
          <t>-</t>
        </is>
      </c>
      <c r="N4" s="64" t="inlineStr">
        <is>
          <t>CyberShield 2026</t>
        </is>
      </c>
      <c r="O4" s="64" t="inlineStr">
        <is>
          <t>-</t>
        </is>
      </c>
      <c r="P4" s="64" t="inlineStr">
        <is>
          <t>Non-Veg</t>
        </is>
      </c>
      <c r="Q4" s="64" t="inlineStr">
        <is>
          <t>LOOP-ROOT-1B02</t>
        </is>
      </c>
      <c r="R4" s="64" t="inlineStr">
        <is>
          <t>confirmed</t>
        </is>
      </c>
      <c r="S4" s="64" t="inlineStr">
        <is>
          <t>8/15/2026, 7:27:08 PM</t>
        </is>
      </c>
      <c r="T4" s="64" t="inlineStr">
        <is>
          <t>I am eager to join the Rootcode industry visit to experience how a top tech company operates. As a Computer Science student interested in Cloud Engineering and DevOps, I want to see how real-world software is built and scaled, and bridge the gap between my studies and industry standards</t>
        </is>
      </c>
      <c r="U4" s="64" t="inlineStr">
        <is>
          <t>I was in organizing committee of cybershield4.0/5.0 and sliitextreme 4.0 as well</t>
        </is>
      </c>
      <c r="V4" s="65" t="inlineStr">
        <is>
          <t>Cybershild + xtream</t>
        </is>
      </c>
    </row>
    <row r="5" ht="14.25" customHeight="1" s="108">
      <c r="A5" s="58" t="n">
        <v>1</v>
      </c>
      <c r="B5" s="59" t="inlineStr">
        <is>
          <t>Confirmed</t>
        </is>
      </c>
      <c r="C5" s="60" t="n">
        <v>15</v>
      </c>
      <c r="D5" s="61" t="inlineStr">
        <is>
          <t>Inupama Caldera</t>
        </is>
      </c>
      <c r="E5" s="64" t="inlineStr">
        <is>
          <t>inupamacaldera@gmail.com</t>
        </is>
      </c>
      <c r="F5" s="64" t="inlineStr">
        <is>
          <t>0774981865</t>
        </is>
      </c>
      <c r="G5" s="64" t="inlineStr">
        <is>
          <t>200374200536</t>
        </is>
      </c>
      <c r="H5" s="64" t="inlineStr">
        <is>
          <t>BSc (Hons) in Information Technology - Data Science</t>
        </is>
      </c>
      <c r="I5" s="64" t="inlineStr">
        <is>
          <t>3rd Year</t>
        </is>
      </c>
      <c r="J5" s="64" t="inlineStr">
        <is>
          <t>Female</t>
        </is>
      </c>
      <c r="K5" s="64" t="inlineStr">
        <is>
          <t>Priority ⭐️</t>
        </is>
      </c>
      <c r="L5" s="64" t="inlineStr">
        <is>
          <t>No</t>
        </is>
      </c>
      <c r="M5" s="64" t="inlineStr">
        <is>
          <t>-</t>
        </is>
      </c>
      <c r="N5" s="64" t="inlineStr">
        <is>
          <t>CyberShield 2026</t>
        </is>
      </c>
      <c r="O5" s="64" t="inlineStr">
        <is>
          <t>-</t>
        </is>
      </c>
      <c r="P5" s="64" t="inlineStr">
        <is>
          <t>Non-Veg</t>
        </is>
      </c>
      <c r="Q5" s="64" t="inlineStr">
        <is>
          <t>LOOP-ROOT-B853</t>
        </is>
      </c>
      <c r="R5" s="64" t="inlineStr">
        <is>
          <t>confirmed</t>
        </is>
      </c>
      <c r="S5" s="64" t="inlineStr">
        <is>
          <t>8/15/2026, 7:32:51 PM</t>
        </is>
      </c>
      <c r="T5" s="64" t="inlineStr">
        <is>
          <t>To experience real industrial environment and to connect with people</t>
        </is>
      </c>
      <c r="U5" s="64" t="inlineStr">
        <is>
          <t>-</t>
        </is>
      </c>
      <c r="V5" s="65" t="inlineStr">
        <is>
          <t>Cybershild + xtream</t>
        </is>
      </c>
    </row>
    <row r="6" ht="14.25" customHeight="1" s="108">
      <c r="A6" s="58" t="n">
        <v>1</v>
      </c>
      <c r="B6" s="59" t="inlineStr">
        <is>
          <t>Confirmed</t>
        </is>
      </c>
      <c r="C6" s="60" t="n">
        <v>136</v>
      </c>
      <c r="D6" s="61" t="inlineStr">
        <is>
          <t>Imeth Liyanaarachchi</t>
        </is>
      </c>
      <c r="E6" s="64" t="inlineStr">
        <is>
          <t>imetheeshan@gmail.com</t>
        </is>
      </c>
      <c r="F6" s="64" t="inlineStr">
        <is>
          <t>0705778826</t>
        </is>
      </c>
      <c r="G6" s="64" t="inlineStr">
        <is>
          <t>200234600918</t>
        </is>
      </c>
      <c r="H6" s="64" t="inlineStr">
        <is>
          <t>BSc (Hons) in Software Engineering</t>
        </is>
      </c>
      <c r="I6" s="64" t="inlineStr">
        <is>
          <t>2nd Year</t>
        </is>
      </c>
      <c r="J6" s="64" t="inlineStr">
        <is>
          <t>Male</t>
        </is>
      </c>
      <c r="K6" s="64" t="inlineStr">
        <is>
          <t>Priority ⭐️</t>
        </is>
      </c>
      <c r="L6" s="64" t="inlineStr">
        <is>
          <t>No</t>
        </is>
      </c>
      <c r="M6" s="64" t="inlineStr">
        <is>
          <t>-</t>
        </is>
      </c>
      <c r="N6" s="64" t="inlineStr">
        <is>
          <t>CyberShield 2026</t>
        </is>
      </c>
      <c r="O6" s="64" t="inlineStr">
        <is>
          <t>-</t>
        </is>
      </c>
      <c r="P6" s="64" t="inlineStr">
        <is>
          <t>Non-Veg</t>
        </is>
      </c>
      <c r="Q6" s="64" t="inlineStr">
        <is>
          <t>LOOP-ROOT-CAD9</t>
        </is>
      </c>
      <c r="R6" s="64" t="inlineStr">
        <is>
          <t>waitlisted</t>
        </is>
      </c>
      <c r="S6" s="64" t="inlineStr">
        <is>
          <t>8/16/2026, 2:29:57 PM</t>
        </is>
      </c>
      <c r="T6" s="64" t="inlineStr">
        <is>
          <t>I hope to learn Root Code to improve my coding and problem solving skills. I want to gain practical knowledge and become better at software development.</t>
        </is>
      </c>
      <c r="U6" s="64" t="inlineStr">
        <is>
          <t>No</t>
        </is>
      </c>
      <c r="V6" s="65" t="inlineStr">
        <is>
          <t>Cybershild + xtream</t>
        </is>
      </c>
    </row>
    <row r="7" ht="14.25" customHeight="1" s="108">
      <c r="A7" s="58" t="n">
        <v>1</v>
      </c>
      <c r="B7" s="59" t="inlineStr">
        <is>
          <t>Confirmed</t>
        </is>
      </c>
      <c r="C7" s="60" t="n">
        <v>13</v>
      </c>
      <c r="D7" s="61" t="inlineStr">
        <is>
          <t>Jesuyaan Sivarasa</t>
        </is>
      </c>
      <c r="E7" s="66" t="inlineStr">
        <is>
          <t>jesuyaan.jj26@gmail.com</t>
        </is>
      </c>
      <c r="F7" s="66" t="inlineStr">
        <is>
          <t>0758039409</t>
        </is>
      </c>
      <c r="G7" s="66" t="inlineStr">
        <is>
          <t>200508604532</t>
        </is>
      </c>
      <c r="H7" s="66" t="inlineStr">
        <is>
          <t>BSc (Hons) in Computer Science</t>
        </is>
      </c>
      <c r="I7" s="66" t="inlineStr">
        <is>
          <t>2nd Year</t>
        </is>
      </c>
      <c r="J7" s="66" t="inlineStr">
        <is>
          <t>Male</t>
        </is>
      </c>
      <c r="K7" s="66" t="inlineStr">
        <is>
          <t>Priority ⭐️</t>
        </is>
      </c>
      <c r="L7" s="66" t="inlineStr">
        <is>
          <t>No</t>
        </is>
      </c>
      <c r="M7" s="66" t="inlineStr">
        <is>
          <t>-</t>
        </is>
      </c>
      <c r="N7" s="66" t="inlineStr">
        <is>
          <t>CyberShield 2026</t>
        </is>
      </c>
      <c r="O7" s="66" t="inlineStr">
        <is>
          <t>-</t>
        </is>
      </c>
      <c r="P7" s="66" t="inlineStr">
        <is>
          <t>Non-Veg</t>
        </is>
      </c>
      <c r="Q7" s="66" t="inlineStr">
        <is>
          <t>LOOP-ROOT-D915</t>
        </is>
      </c>
      <c r="R7" s="66" t="inlineStr">
        <is>
          <t>confirmed</t>
        </is>
      </c>
      <c r="S7" s="66" t="inlineStr">
        <is>
          <t>8/15/2026, 7:30:53 PM</t>
        </is>
      </c>
      <c r="T7" s="66" t="inlineStr">
        <is>
          <t>Since i am a computer science undergraduate I would love to know the insights how different different companies work that will be beneficial for me to go into my desire work</t>
        </is>
      </c>
      <c r="U7" s="66" t="inlineStr">
        <is>
          <t>How does longevity work in computing life</t>
        </is>
      </c>
      <c r="V7" s="67" t="inlineStr">
        <is>
          <t>cybershild oc</t>
        </is>
      </c>
    </row>
    <row r="8" ht="14.25" customHeight="1" s="108">
      <c r="A8" s="58" t="n">
        <v>1</v>
      </c>
      <c r="B8" s="59" t="inlineStr">
        <is>
          <t>Confirmed</t>
        </is>
      </c>
      <c r="C8" s="60" t="n">
        <v>42</v>
      </c>
      <c r="D8" s="61" t="inlineStr">
        <is>
          <t>R.A.UDARA SAHAN RANWALA</t>
        </is>
      </c>
      <c r="E8" s="66" t="inlineStr">
        <is>
          <t>udarasahan2005@gmail.com</t>
        </is>
      </c>
      <c r="F8" s="66" t="inlineStr">
        <is>
          <t>+94 714292641</t>
        </is>
      </c>
      <c r="G8" s="66" t="inlineStr">
        <is>
          <t>200504501211</t>
        </is>
      </c>
      <c r="H8" s="66" t="inlineStr">
        <is>
          <t>BSc (Hons) in Information Technology - Data Science</t>
        </is>
      </c>
      <c r="I8" s="66" t="inlineStr">
        <is>
          <t>2nd Year</t>
        </is>
      </c>
      <c r="J8" s="66" t="inlineStr">
        <is>
          <t>Male</t>
        </is>
      </c>
      <c r="K8" s="66" t="inlineStr">
        <is>
          <t>Priority ⭐️</t>
        </is>
      </c>
      <c r="L8" s="66" t="inlineStr">
        <is>
          <t>No</t>
        </is>
      </c>
      <c r="M8" s="66" t="inlineStr">
        <is>
          <t>-</t>
        </is>
      </c>
      <c r="N8" s="66" t="inlineStr">
        <is>
          <t>CyberShield 2026</t>
        </is>
      </c>
      <c r="O8" s="66" t="inlineStr">
        <is>
          <t>-</t>
        </is>
      </c>
      <c r="P8" s="66" t="inlineStr">
        <is>
          <t>Non-Veg</t>
        </is>
      </c>
      <c r="Q8" s="66" t="inlineStr">
        <is>
          <t>LOOP-ROOT-5146</t>
        </is>
      </c>
      <c r="R8" s="66" t="inlineStr">
        <is>
          <t>waitlisted</t>
        </is>
      </c>
      <c r="S8" s="66" t="inlineStr">
        <is>
          <t>8/15/2026, 7:59:54 PM</t>
        </is>
      </c>
      <c r="T8" s="66" t="inlineStr">
        <is>
          <t>I am interested in learning more about the IT industry, gaining practical insights from industry professionals, and understanding current technologies and career opportunities. This session will help me connect my academic knowledge with real-world industry experience.</t>
        </is>
      </c>
      <c r="U8" s="66" t="inlineStr">
        <is>
          <t>-</t>
        </is>
      </c>
      <c r="V8" s="67" t="inlineStr">
        <is>
          <t>cybershild oc</t>
        </is>
      </c>
    </row>
    <row r="9" ht="14.25" customHeight="1" s="108">
      <c r="A9" s="58" t="n">
        <v>1</v>
      </c>
      <c r="B9" s="59" t="inlineStr">
        <is>
          <t>Confirmed</t>
        </is>
      </c>
      <c r="C9" s="60" t="n">
        <v>128</v>
      </c>
      <c r="D9" s="61" t="inlineStr">
        <is>
          <t>Thamuditha Kewan</t>
        </is>
      </c>
      <c r="E9" s="66" t="inlineStr">
        <is>
          <t>tkewan.live@gmail.com</t>
        </is>
      </c>
      <c r="F9" s="66" t="inlineStr">
        <is>
          <t>+94787462729</t>
        </is>
      </c>
      <c r="G9" s="66" t="inlineStr">
        <is>
          <t>200530703285</t>
        </is>
      </c>
      <c r="H9" s="66" t="inlineStr">
        <is>
          <t>BSc (Hons) in Information Technology - Artificial Intelligence</t>
        </is>
      </c>
      <c r="I9" s="66" t="inlineStr">
        <is>
          <t>2nd Year</t>
        </is>
      </c>
      <c r="J9" s="66" t="inlineStr">
        <is>
          <t>Male</t>
        </is>
      </c>
      <c r="K9" s="66" t="inlineStr">
        <is>
          <t>Priority ⭐️</t>
        </is>
      </c>
      <c r="L9" s="66" t="inlineStr">
        <is>
          <t>No</t>
        </is>
      </c>
      <c r="M9" s="66" t="inlineStr">
        <is>
          <t>-</t>
        </is>
      </c>
      <c r="N9" s="66" t="inlineStr">
        <is>
          <t>CyberShield 2026</t>
        </is>
      </c>
      <c r="O9" s="66" t="inlineStr">
        <is>
          <t>-</t>
        </is>
      </c>
      <c r="P9" s="66" t="inlineStr">
        <is>
          <t>Non-Veg</t>
        </is>
      </c>
      <c r="Q9" s="66" t="inlineStr">
        <is>
          <t>LOOP-ROOT-A201</t>
        </is>
      </c>
      <c r="R9" s="66" t="inlineStr">
        <is>
          <t>waitlisted</t>
        </is>
      </c>
      <c r="S9" s="66" t="inlineStr">
        <is>
          <t>8/16/2026, 12:25:37 PM</t>
        </is>
      </c>
      <c r="T9" s="66" t="inlineStr">
        <is>
          <t>Im interesting in AI and machine learning, programming with hardcodes. I never joined this kind of event like industry connected sessions. Very interests with it.</t>
        </is>
      </c>
      <c r="U9" s="66" t="inlineStr">
        <is>
          <t>-</t>
        </is>
      </c>
      <c r="V9" s="67" t="inlineStr">
        <is>
          <t>cybershild oc</t>
        </is>
      </c>
    </row>
    <row r="10" ht="14.25" customHeight="1" s="108">
      <c r="A10" s="58" t="n">
        <v>1</v>
      </c>
      <c r="B10" s="59" t="inlineStr">
        <is>
          <t>Confirmed</t>
        </is>
      </c>
      <c r="C10" s="60" t="n">
        <v>14</v>
      </c>
      <c r="D10" s="61" t="inlineStr">
        <is>
          <t>Senitha Anujaya</t>
        </is>
      </c>
      <c r="E10" s="68" t="inlineStr">
        <is>
          <t>senitha14anujaya@gmail.com</t>
        </is>
      </c>
      <c r="F10" s="68" t="inlineStr">
        <is>
          <t>+94710701154</t>
        </is>
      </c>
      <c r="G10" s="68" t="inlineStr">
        <is>
          <t>200425804148</t>
        </is>
      </c>
      <c r="H10" s="68" t="inlineStr">
        <is>
          <t>BSc (Hons) in Information Technology - Artificial Intelligence</t>
        </is>
      </c>
      <c r="I10" s="68" t="inlineStr">
        <is>
          <t>2nd Year</t>
        </is>
      </c>
      <c r="J10" s="68" t="inlineStr">
        <is>
          <t>Male</t>
        </is>
      </c>
      <c r="K10" s="68" t="inlineStr">
        <is>
          <t>Priority ⭐️</t>
        </is>
      </c>
      <c r="L10" s="68" t="inlineStr">
        <is>
          <t>Yes</t>
        </is>
      </c>
      <c r="M10" s="68" t="inlineStr">
        <is>
          <t>102569659</t>
        </is>
      </c>
      <c r="N10" s="68" t="inlineStr">
        <is>
          <t>No</t>
        </is>
      </c>
      <c r="O10" s="68" t="inlineStr">
        <is>
          <t>-</t>
        </is>
      </c>
      <c r="P10" s="68" t="inlineStr">
        <is>
          <t>Non-Veg</t>
        </is>
      </c>
      <c r="Q10" s="68" t="inlineStr">
        <is>
          <t>LOOP-ROOT-1296</t>
        </is>
      </c>
      <c r="R10" s="68" t="inlineStr">
        <is>
          <t>confirmed</t>
        </is>
      </c>
      <c r="S10" s="68" t="inlineStr">
        <is>
          <t>8/15/2026, 7:32:43 PM</t>
        </is>
      </c>
      <c r="T10" s="68" t="inlineStr">
        <is>
          <t>​Pursuing my specialization in Artificial Intelligence, I want to bridge the gap between academic concepts and real-world software engineering. I look forward to gaining insights into how Rootcode designs, tests, and scales intelligent systems, as well as understanding the skills most valued in the evolving AI industry.</t>
        </is>
      </c>
      <c r="U10" s="68" t="inlineStr">
        <is>
          <t>-</t>
        </is>
      </c>
      <c r="V10" s="69" t="inlineStr">
        <is>
          <t>only IEEE membership</t>
        </is>
      </c>
    </row>
    <row r="11" ht="14.25" customHeight="1" s="108">
      <c r="A11" s="58" t="n">
        <v>1</v>
      </c>
      <c r="B11" s="59" t="inlineStr">
        <is>
          <t>Confirmed</t>
        </is>
      </c>
      <c r="C11" s="60" t="n">
        <v>16</v>
      </c>
      <c r="D11" s="61" t="inlineStr">
        <is>
          <t>Dinuki Gunawardana</t>
        </is>
      </c>
      <c r="E11" s="68" t="inlineStr">
        <is>
          <t>dinukig13@gmail.com</t>
        </is>
      </c>
      <c r="F11" s="68" t="inlineStr">
        <is>
          <t>0705991020</t>
        </is>
      </c>
      <c r="G11" s="68" t="inlineStr">
        <is>
          <t>200275700890</t>
        </is>
      </c>
      <c r="H11" s="68" t="inlineStr">
        <is>
          <t>BSc (Hons) in Information Technology - Artificial Intelligence</t>
        </is>
      </c>
      <c r="I11" s="68" t="inlineStr">
        <is>
          <t>3rd Year</t>
        </is>
      </c>
      <c r="J11" s="68" t="inlineStr">
        <is>
          <t>Female</t>
        </is>
      </c>
      <c r="K11" s="68" t="inlineStr">
        <is>
          <t>Priority ⭐️</t>
        </is>
      </c>
      <c r="L11" s="68" t="inlineStr">
        <is>
          <t>Yes</t>
        </is>
      </c>
      <c r="M11" s="68" t="inlineStr">
        <is>
          <t>102571107</t>
        </is>
      </c>
      <c r="N11" s="68" t="inlineStr">
        <is>
          <t>No</t>
        </is>
      </c>
      <c r="O11" s="68" t="inlineStr">
        <is>
          <t>-</t>
        </is>
      </c>
      <c r="P11" s="68" t="inlineStr">
        <is>
          <t>Non-Veg</t>
        </is>
      </c>
      <c r="Q11" s="68" t="inlineStr">
        <is>
          <t>LOOP-ROOT-A04F</t>
        </is>
      </c>
      <c r="R11" s="68" t="inlineStr">
        <is>
          <t>confirmed</t>
        </is>
      </c>
      <c r="S11" s="68" t="inlineStr">
        <is>
          <t>8/15/2026, 7:33:31 PM</t>
        </is>
      </c>
      <c r="T11" s="68" t="inlineStr">
        <is>
          <t>I would like to gain knowledge about the industry</t>
        </is>
      </c>
      <c r="U11" s="68" t="inlineStr">
        <is>
          <t>-</t>
        </is>
      </c>
      <c r="V11" s="69" t="inlineStr">
        <is>
          <t>only IEEE membership</t>
        </is>
      </c>
    </row>
    <row r="12" ht="14.25" customHeight="1" s="108">
      <c r="A12" s="58" t="n">
        <v>1</v>
      </c>
      <c r="B12" s="59" t="inlineStr">
        <is>
          <t>Confirmed</t>
        </is>
      </c>
      <c r="C12" s="60" t="n">
        <v>18</v>
      </c>
      <c r="D12" s="61" t="inlineStr">
        <is>
          <t>Kaveesha Rajapaksha</t>
        </is>
      </c>
      <c r="E12" s="68" t="inlineStr">
        <is>
          <t>kaveesharajapaksha77@gmail.com</t>
        </is>
      </c>
      <c r="F12" s="68" t="inlineStr">
        <is>
          <t>0768014423</t>
        </is>
      </c>
      <c r="G12" s="68" t="inlineStr">
        <is>
          <t>200373311960</t>
        </is>
      </c>
      <c r="H12" s="68" t="inlineStr">
        <is>
          <t>BSc (Hons) in Software Engineering</t>
        </is>
      </c>
      <c r="I12" s="68" t="inlineStr">
        <is>
          <t>2nd Year</t>
        </is>
      </c>
      <c r="J12" s="68" t="inlineStr">
        <is>
          <t>Female</t>
        </is>
      </c>
      <c r="K12" s="68" t="inlineStr">
        <is>
          <t>Priority ⭐️</t>
        </is>
      </c>
      <c r="L12" s="68" t="inlineStr">
        <is>
          <t>Yes</t>
        </is>
      </c>
      <c r="M12" s="68" t="inlineStr">
        <is>
          <t>102571658</t>
        </is>
      </c>
      <c r="N12" s="68" t="inlineStr">
        <is>
          <t>EOC Core / Other</t>
        </is>
      </c>
      <c r="O12" s="68" t="inlineStr">
        <is>
          <t>-</t>
        </is>
      </c>
      <c r="P12" s="68" t="inlineStr">
        <is>
          <t>Non-Veg</t>
        </is>
      </c>
      <c r="Q12" s="68" t="inlineStr">
        <is>
          <t>LOOP-ROOT-0922</t>
        </is>
      </c>
      <c r="R12" s="68" t="inlineStr">
        <is>
          <t>confirmed</t>
        </is>
      </c>
      <c r="S12" s="68" t="inlineStr">
        <is>
          <t>8/15/2026, 7:34:29 PM</t>
        </is>
      </c>
      <c r="T12" s="68" t="inlineStr">
        <is>
          <t>I would like to join this industry connect session to learn more about the software industry and understand how professionals work in a real-world environment. I believe this visit will help me gain practical knowledge, learn about current industry trends, and get a better idea about future career opportunities.</t>
        </is>
      </c>
      <c r="U12" s="68" t="inlineStr">
        <is>
          <t>-</t>
        </is>
      </c>
      <c r="V12" s="69" t="inlineStr">
        <is>
          <t>only IEEE membership</t>
        </is>
      </c>
    </row>
    <row r="13" ht="14.25" customHeight="1" s="108">
      <c r="A13" s="58" t="n">
        <v>1</v>
      </c>
      <c r="B13" s="59" t="inlineStr">
        <is>
          <t>Confirmed</t>
        </is>
      </c>
      <c r="C13" s="60" t="n">
        <v>24</v>
      </c>
      <c r="D13" s="61" t="inlineStr">
        <is>
          <t>Shagash Karthigeson</t>
        </is>
      </c>
      <c r="E13" s="68" t="inlineStr">
        <is>
          <t>kshagash@gmail.com</t>
        </is>
      </c>
      <c r="F13" s="68" t="inlineStr">
        <is>
          <t>+94756653261</t>
        </is>
      </c>
      <c r="G13" s="68" t="inlineStr">
        <is>
          <t>200507104301</t>
        </is>
      </c>
      <c r="H13" s="68" t="inlineStr">
        <is>
          <t>BSc (Hons) in Computer Science</t>
        </is>
      </c>
      <c r="I13" s="68" t="inlineStr">
        <is>
          <t>2nd Year</t>
        </is>
      </c>
      <c r="J13" s="68" t="inlineStr">
        <is>
          <t>Male</t>
        </is>
      </c>
      <c r="K13" s="68" t="inlineStr">
        <is>
          <t>Priority ⭐️</t>
        </is>
      </c>
      <c r="L13" s="68" t="inlineStr">
        <is>
          <t>Yes</t>
        </is>
      </c>
      <c r="M13" s="68" t="inlineStr">
        <is>
          <t>101572728</t>
        </is>
      </c>
      <c r="N13" s="68" t="inlineStr">
        <is>
          <t>EOC Core / Other</t>
        </is>
      </c>
      <c r="O13" s="68" t="inlineStr">
        <is>
          <t>-</t>
        </is>
      </c>
      <c r="P13" s="68" t="inlineStr">
        <is>
          <t>Non-Veg</t>
        </is>
      </c>
      <c r="Q13" s="68" t="inlineStr">
        <is>
          <t>LOOP-ROOT-8A1F</t>
        </is>
      </c>
      <c r="R13" s="68" t="inlineStr">
        <is>
          <t>confirmed</t>
        </is>
      </c>
      <c r="S13" s="68" t="inlineStr">
        <is>
          <t>8/15/2026, 7:38:07 PM</t>
        </is>
      </c>
      <c r="T13" s="68" t="inlineStr">
        <is>
          <t>Always been inspired how a srilankan based startup grew into such a huge company.Wanted to explore the company works</t>
        </is>
      </c>
      <c r="U13" s="68" t="inlineStr">
        <is>
          <t>-</t>
        </is>
      </c>
      <c r="V13" s="69" t="inlineStr">
        <is>
          <t>only IEEE membership</t>
        </is>
      </c>
    </row>
    <row r="14" ht="14.25" customHeight="1" s="108">
      <c r="A14" s="58" t="n">
        <v>1</v>
      </c>
      <c r="B14" s="59" t="inlineStr">
        <is>
          <t>Confirmed</t>
        </is>
      </c>
      <c r="C14" s="60" t="n">
        <v>41</v>
      </c>
      <c r="D14" s="61" t="inlineStr">
        <is>
          <t>Gaveen Perera</t>
        </is>
      </c>
      <c r="E14" s="68" t="inlineStr">
        <is>
          <t>gaveenperera7@gmail.com</t>
        </is>
      </c>
      <c r="F14" s="68" t="inlineStr">
        <is>
          <t>0774170117</t>
        </is>
      </c>
      <c r="G14" s="68" t="inlineStr">
        <is>
          <t>200731204986</t>
        </is>
      </c>
      <c r="H14" s="68" t="inlineStr">
        <is>
          <t>BSc (Hons) in Computer Science</t>
        </is>
      </c>
      <c r="I14" s="68" t="inlineStr">
        <is>
          <t>2nd Year</t>
        </is>
      </c>
      <c r="J14" s="68" t="inlineStr">
        <is>
          <t>Male</t>
        </is>
      </c>
      <c r="K14" s="68" t="inlineStr">
        <is>
          <t>Priority ⭐️</t>
        </is>
      </c>
      <c r="L14" s="68" t="inlineStr">
        <is>
          <t>Yes</t>
        </is>
      </c>
      <c r="M14" s="68" t="inlineStr">
        <is>
          <t>102644429</t>
        </is>
      </c>
      <c r="N14" s="68" t="inlineStr">
        <is>
          <t>EOC Core / Other</t>
        </is>
      </c>
      <c r="O14" s="68" t="inlineStr">
        <is>
          <t>-</t>
        </is>
      </c>
      <c r="P14" s="68" t="inlineStr">
        <is>
          <t>Non-Veg</t>
        </is>
      </c>
      <c r="Q14" s="68" t="inlineStr">
        <is>
          <t>LOOP-ROOT-0B30</t>
        </is>
      </c>
      <c r="R14" s="68" t="inlineStr">
        <is>
          <t>confirmed</t>
        </is>
      </c>
      <c r="S14" s="68" t="inlineStr">
        <is>
          <t>8/15/2026, 7:59:25 PM</t>
        </is>
      </c>
      <c r="T14" s="68" t="inlineStr">
        <is>
          <t>I'm really interested in AI/ML engineering and wanted to join this session to get a look at how things work behind the scenes. Hoping to pick up some solid insights on industry practices and workflows from the Rootcode team.</t>
        </is>
      </c>
      <c r="U14" s="68" t="inlineStr">
        <is>
          <t>-</t>
        </is>
      </c>
      <c r="V14" s="69" t="inlineStr">
        <is>
          <t>only IEEE membership</t>
        </is>
      </c>
    </row>
    <row r="15" ht="14.25" customHeight="1" s="108">
      <c r="A15" s="58" t="n">
        <v>1</v>
      </c>
      <c r="B15" s="59" t="inlineStr">
        <is>
          <t>Confirmed</t>
        </is>
      </c>
      <c r="C15" s="60" t="n">
        <v>53</v>
      </c>
      <c r="D15" s="61" t="inlineStr">
        <is>
          <t>Himasari M.M.P.W</t>
        </is>
      </c>
      <c r="E15" s="68" t="inlineStr">
        <is>
          <t>vimansahimasari@gmail.com</t>
        </is>
      </c>
      <c r="F15" s="68" t="inlineStr">
        <is>
          <t>0715947496</t>
        </is>
      </c>
      <c r="G15" s="68" t="inlineStr">
        <is>
          <t>200481302184</t>
        </is>
      </c>
      <c r="H15" s="68" t="inlineStr">
        <is>
          <t>BSc Engineering (Hons) in Electrical &amp; Electronic Engineering</t>
        </is>
      </c>
      <c r="I15" s="68" t="inlineStr">
        <is>
          <t>2nd Year</t>
        </is>
      </c>
      <c r="J15" s="68" t="inlineStr">
        <is>
          <t>Female</t>
        </is>
      </c>
      <c r="K15" s="68" t="inlineStr">
        <is>
          <t>Priority ⭐️</t>
        </is>
      </c>
      <c r="L15" s="68" t="inlineStr">
        <is>
          <t>Yes</t>
        </is>
      </c>
      <c r="M15" s="68" t="inlineStr">
        <is>
          <t>102566930</t>
        </is>
      </c>
      <c r="N15" s="68" t="inlineStr">
        <is>
          <t>No</t>
        </is>
      </c>
      <c r="O15" s="68" t="inlineStr">
        <is>
          <t>-</t>
        </is>
      </c>
      <c r="P15" s="68" t="inlineStr">
        <is>
          <t>Non-Veg</t>
        </is>
      </c>
      <c r="Q15" s="68" t="inlineStr">
        <is>
          <t>LOOP-ROOT-D884</t>
        </is>
      </c>
      <c r="R15" s="68" t="inlineStr">
        <is>
          <t>waitlisted</t>
        </is>
      </c>
      <c r="S15" s="68" t="inlineStr">
        <is>
          <t>8/15/2026, 8:20:21 PM</t>
        </is>
      </c>
      <c r="T15" s="68" t="inlineStr">
        <is>
          <t>I’m interested in AI and machine learning and want to learn how these technologies are used in real-world engineering projects.</t>
        </is>
      </c>
      <c r="U15" s="68" t="inlineStr">
        <is>
          <t>-</t>
        </is>
      </c>
      <c r="V15" s="69" t="inlineStr">
        <is>
          <t>only IEEE membership</t>
        </is>
      </c>
    </row>
    <row r="16" ht="14.25" customHeight="1" s="108">
      <c r="A16" s="58" t="n">
        <v>1</v>
      </c>
      <c r="B16" s="59" t="inlineStr">
        <is>
          <t>Confirmed</t>
        </is>
      </c>
      <c r="C16" s="60" t="n">
        <v>54</v>
      </c>
      <c r="D16" s="61" t="inlineStr">
        <is>
          <t>Lakvidu Upasara</t>
        </is>
      </c>
      <c r="E16" s="68" t="inlineStr">
        <is>
          <t>lakviduuparasa@gmail.com</t>
        </is>
      </c>
      <c r="F16" s="68" t="inlineStr">
        <is>
          <t>0719277149</t>
        </is>
      </c>
      <c r="G16" s="68" t="inlineStr">
        <is>
          <t>2000111503769</t>
        </is>
      </c>
      <c r="H16" s="68" t="inlineStr">
        <is>
          <t>BSc (Hons) in Software Engineering</t>
        </is>
      </c>
      <c r="I16" s="68" t="inlineStr">
        <is>
          <t>2nd Year</t>
        </is>
      </c>
      <c r="J16" s="68" t="inlineStr">
        <is>
          <t>Male</t>
        </is>
      </c>
      <c r="K16" s="68" t="inlineStr">
        <is>
          <t>Priority ⭐️</t>
        </is>
      </c>
      <c r="L16" s="68" t="inlineStr">
        <is>
          <t>Yes</t>
        </is>
      </c>
      <c r="M16" s="68" t="inlineStr">
        <is>
          <t>102622173</t>
        </is>
      </c>
      <c r="N16" s="68" t="inlineStr">
        <is>
          <t>No</t>
        </is>
      </c>
      <c r="O16" s="68" t="inlineStr">
        <is>
          <t>-</t>
        </is>
      </c>
      <c r="P16" s="68" t="inlineStr">
        <is>
          <t>Non-Veg</t>
        </is>
      </c>
      <c r="Q16" s="68" t="inlineStr">
        <is>
          <t>LOOP-ROOT-662A</t>
        </is>
      </c>
      <c r="R16" s="68" t="inlineStr">
        <is>
          <t>waitlisted</t>
        </is>
      </c>
      <c r="S16" s="68" t="inlineStr">
        <is>
          <t>8/15/2026, 8:21:50 PM</t>
        </is>
      </c>
      <c r="T16" s="68" t="inlineStr">
        <is>
          <t>I am interested in AI and machine learning and would like to gain practical insights into how these technologies are applied in real-world software engineering. I hope to learn from the Rootcode engineering team, understand industry best practices, and explore how I can further develop my technical skills and career in AI-driven software development.</t>
        </is>
      </c>
      <c r="U16" s="68" t="inlineStr">
        <is>
          <t>-</t>
        </is>
      </c>
      <c r="V16" s="69" t="inlineStr">
        <is>
          <t>only IEEE membership</t>
        </is>
      </c>
    </row>
    <row r="17" ht="14.25" customHeight="1" s="108">
      <c r="A17" s="58" t="n">
        <v>1</v>
      </c>
      <c r="B17" s="59" t="inlineStr">
        <is>
          <t>Confirmed</t>
        </is>
      </c>
      <c r="C17" s="60" t="n">
        <v>59</v>
      </c>
      <c r="D17" s="61" t="inlineStr">
        <is>
          <t>Nevishka Chamod Jayasinghe</t>
        </is>
      </c>
      <c r="E17" s="68" t="inlineStr">
        <is>
          <t>en25300189@my.sliit.lk</t>
        </is>
      </c>
      <c r="F17" s="68" t="inlineStr">
        <is>
          <t>+94707430124</t>
        </is>
      </c>
      <c r="G17" s="68" t="inlineStr">
        <is>
          <t>200503500679</t>
        </is>
      </c>
      <c r="H17" s="68" t="inlineStr">
        <is>
          <t>BSc Engineering (Hons) in Mechanical Engineering (Mechatronics)</t>
        </is>
      </c>
      <c r="I17" s="68" t="inlineStr">
        <is>
          <t>2nd Year</t>
        </is>
      </c>
      <c r="J17" s="68" t="inlineStr">
        <is>
          <t>Male</t>
        </is>
      </c>
      <c r="K17" s="68" t="inlineStr">
        <is>
          <t>Priority ⭐️</t>
        </is>
      </c>
      <c r="L17" s="68" t="inlineStr">
        <is>
          <t>Yes</t>
        </is>
      </c>
      <c r="M17" s="68" t="inlineStr">
        <is>
          <t>102545514</t>
        </is>
      </c>
      <c r="N17" s="68" t="inlineStr">
        <is>
          <t>No</t>
        </is>
      </c>
      <c r="O17" s="68" t="inlineStr">
        <is>
          <t>-</t>
        </is>
      </c>
      <c r="P17" s="68" t="inlineStr">
        <is>
          <t>Non-Veg</t>
        </is>
      </c>
      <c r="Q17" s="68" t="inlineStr">
        <is>
          <t>LOOP-ROOT-D033</t>
        </is>
      </c>
      <c r="R17" s="68" t="inlineStr">
        <is>
          <t>waitlisted</t>
        </is>
      </c>
      <c r="S17" s="68" t="inlineStr">
        <is>
          <t>8/15/2026, 8:33:00 PM</t>
        </is>
      </c>
      <c r="T17" s="68" t="inlineStr">
        <is>
          <t>To gain access for knowledge on AI and improve skills</t>
        </is>
      </c>
      <c r="U17" s="68" t="inlineStr">
        <is>
          <t>-</t>
        </is>
      </c>
      <c r="V17" s="69" t="inlineStr">
        <is>
          <t>only IEEE membership</t>
        </is>
      </c>
    </row>
    <row r="18" ht="14.25" customHeight="1" s="108">
      <c r="A18" s="58" t="n">
        <v>1</v>
      </c>
      <c r="B18" s="59" t="inlineStr">
        <is>
          <t>Confirmed</t>
        </is>
      </c>
      <c r="C18" s="60" t="n">
        <v>61</v>
      </c>
      <c r="D18" s="61" t="inlineStr">
        <is>
          <t>J. W. C Jananjana</t>
        </is>
      </c>
      <c r="E18" s="68" t="inlineStr">
        <is>
          <t>jaan25liyanage@gmail.com</t>
        </is>
      </c>
      <c r="F18" s="68" t="inlineStr">
        <is>
          <t>0768102878</t>
        </is>
      </c>
      <c r="G18" s="68" t="inlineStr">
        <is>
          <t>200360911620</t>
        </is>
      </c>
      <c r="H18" s="68" t="inlineStr">
        <is>
          <t>BSc (Hons) in Computer Science</t>
        </is>
      </c>
      <c r="I18" s="68" t="inlineStr">
        <is>
          <t>3rd Year</t>
        </is>
      </c>
      <c r="J18" s="68" t="inlineStr">
        <is>
          <t>Female</t>
        </is>
      </c>
      <c r="K18" s="68" t="inlineStr">
        <is>
          <t>Priority ⭐️</t>
        </is>
      </c>
      <c r="L18" s="68" t="inlineStr">
        <is>
          <t>Yes</t>
        </is>
      </c>
      <c r="M18" s="68" t="inlineStr">
        <is>
          <t>102641066</t>
        </is>
      </c>
      <c r="N18" s="68" t="inlineStr">
        <is>
          <t>No</t>
        </is>
      </c>
      <c r="O18" s="68" t="inlineStr">
        <is>
          <t>-</t>
        </is>
      </c>
      <c r="P18" s="68" t="inlineStr">
        <is>
          <t>Non-Veg</t>
        </is>
      </c>
      <c r="Q18" s="68" t="inlineStr">
        <is>
          <t>LOOP-ROOT-5423</t>
        </is>
      </c>
      <c r="R18" s="68" t="inlineStr">
        <is>
          <t>waitlisted</t>
        </is>
      </c>
      <c r="S18" s="68" t="inlineStr">
        <is>
          <t>8/15/2026, 8:37:52 PM</t>
        </is>
      </c>
      <c r="T18" s="68" t="inlineStr">
        <is>
          <t>I enjoy communicating with people, meeting new friends, and working as part of a team. I also like being creative and coming up with ideas for social media content. I think this role would help me improve my communication, teamwork, and creative skills while gaining new experiences.
AND I like to visit industry for take intern and get industry unforgettable experience, so I want to see, as aCS student what I can do for my efforts, and It will help for my intern and future career.</t>
        </is>
      </c>
      <c r="U18" s="68" t="inlineStr">
        <is>
          <t>.</t>
        </is>
      </c>
      <c r="V18" s="69" t="inlineStr">
        <is>
          <t>only IEEE membership</t>
        </is>
      </c>
    </row>
    <row r="19" ht="14.25" customHeight="1" s="108">
      <c r="A19" s="58" t="n">
        <v>1</v>
      </c>
      <c r="B19" s="59" t="inlineStr">
        <is>
          <t>Confirmed</t>
        </is>
      </c>
      <c r="C19" s="60" t="n">
        <v>63</v>
      </c>
      <c r="D19" s="61" t="inlineStr">
        <is>
          <t>Achin Chandrasiri</t>
        </is>
      </c>
      <c r="E19" s="68" t="inlineStr">
        <is>
          <t>achinchandrasiri@gmail.com</t>
        </is>
      </c>
      <c r="F19" s="68" t="inlineStr">
        <is>
          <t>+94714020860</t>
        </is>
      </c>
      <c r="G19" s="68" t="inlineStr">
        <is>
          <t>200418402380</t>
        </is>
      </c>
      <c r="H19" s="68" t="inlineStr">
        <is>
          <t>BSc (Hons) in Information Technology - Cyber Security</t>
        </is>
      </c>
      <c r="I19" s="68" t="inlineStr">
        <is>
          <t>3rd Year</t>
        </is>
      </c>
      <c r="J19" s="68" t="inlineStr">
        <is>
          <t>Male</t>
        </is>
      </c>
      <c r="K19" s="68" t="inlineStr">
        <is>
          <t>Priority ⭐️</t>
        </is>
      </c>
      <c r="L19" s="68" t="inlineStr">
        <is>
          <t>Yes</t>
        </is>
      </c>
      <c r="M19" s="68" t="inlineStr">
        <is>
          <t>101026364</t>
        </is>
      </c>
      <c r="N19" s="68" t="inlineStr">
        <is>
          <t>No</t>
        </is>
      </c>
      <c r="O19" s="68" t="inlineStr">
        <is>
          <t>-</t>
        </is>
      </c>
      <c r="P19" s="68" t="inlineStr">
        <is>
          <t>Non-Veg</t>
        </is>
      </c>
      <c r="Q19" s="68" t="inlineStr">
        <is>
          <t>LOOP-ROOT-5381</t>
        </is>
      </c>
      <c r="R19" s="68" t="inlineStr">
        <is>
          <t>waitlisted</t>
        </is>
      </c>
      <c r="S19" s="68" t="inlineStr">
        <is>
          <t>8/15/2026, 8:47:09 PM</t>
        </is>
      </c>
      <c r="T19" s="68" t="inlineStr">
        <is>
          <t>I want to explore how AI and machine learning shape modern software security. Aslo hoping to learn about Rootcode’s engineering practices and how your team integrates AI into scalable products while maintaining high privacy standards. Finally, I look forward to networking with the team to gain real-world insights into production-level AI deployment.</t>
        </is>
      </c>
      <c r="U19" s="68" t="inlineStr">
        <is>
          <t>-</t>
        </is>
      </c>
      <c r="V19" s="69" t="inlineStr">
        <is>
          <t>only IEEE membership</t>
        </is>
      </c>
    </row>
    <row r="20" ht="14.25" customHeight="1" s="108">
      <c r="A20" s="58" t="n">
        <v>1</v>
      </c>
      <c r="B20" s="59" t="inlineStr">
        <is>
          <t>Confirmed</t>
        </is>
      </c>
      <c r="C20" s="60" t="n">
        <v>66</v>
      </c>
      <c r="D20" s="61" t="inlineStr">
        <is>
          <t>Oshan Rajakaruna</t>
        </is>
      </c>
      <c r="E20" s="68" t="inlineStr">
        <is>
          <t>oshanrajakaruna.studies@gmail.com</t>
        </is>
      </c>
      <c r="F20" s="68" t="inlineStr">
        <is>
          <t>+94703165099</t>
        </is>
      </c>
      <c r="G20" s="68" t="inlineStr">
        <is>
          <t>200110600078</t>
        </is>
      </c>
      <c r="H20" s="68" t="inlineStr">
        <is>
          <t>BSc (Hons) in Information Technology - Data Science</t>
        </is>
      </c>
      <c r="I20" s="68" t="inlineStr">
        <is>
          <t>3rd Year</t>
        </is>
      </c>
      <c r="J20" s="68" t="inlineStr">
        <is>
          <t>Male</t>
        </is>
      </c>
      <c r="K20" s="68" t="inlineStr">
        <is>
          <t>Priority ⭐️</t>
        </is>
      </c>
      <c r="L20" s="68" t="inlineStr">
        <is>
          <t>Yes</t>
        </is>
      </c>
      <c r="M20" s="68" t="inlineStr">
        <is>
          <t>102622026</t>
        </is>
      </c>
      <c r="N20" s="68" t="inlineStr">
        <is>
          <t>No</t>
        </is>
      </c>
      <c r="O20" s="68" t="inlineStr">
        <is>
          <t>-</t>
        </is>
      </c>
      <c r="P20" s="68" t="inlineStr">
        <is>
          <t>Non-Veg</t>
        </is>
      </c>
      <c r="Q20" s="68" t="inlineStr">
        <is>
          <t>LOOP-ROOT-69FC</t>
        </is>
      </c>
      <c r="R20" s="68" t="inlineStr">
        <is>
          <t>waitlisted</t>
        </is>
      </c>
      <c r="S20" s="68" t="inlineStr">
        <is>
          <t>8/15/2026, 9:03:24 PM</t>
        </is>
      </c>
      <c r="T20" s="68" t="inlineStr">
        <is>
          <t>I am a 3rd-year Data Science undergraduate at SLIIT and an IEEE member with a strong interest in AI, machine learning, and real-world software engineering. I would love to learn how the Rootcode engineering team applies AI and data-driven technologies to industry projects, understand their development practices, and gain insights that will help me prepare for my future career in Data Science and AI.</t>
        </is>
      </c>
      <c r="U20" s="68" t="inlineStr">
        <is>
          <t>I would be interested to learn about internship and career opportunities at Rootcode, especially in Data Science, AI, and Machine Learning, and what skills you recommend students develop to prepare for these roles.</t>
        </is>
      </c>
      <c r="V20" s="69" t="inlineStr">
        <is>
          <t>only IEEE membership</t>
        </is>
      </c>
    </row>
    <row r="21" ht="14.25" customHeight="1" s="108">
      <c r="A21" s="58" t="n">
        <v>1</v>
      </c>
      <c r="B21" s="59" t="inlineStr">
        <is>
          <t>Confirmed</t>
        </is>
      </c>
      <c r="C21" s="60" t="n">
        <v>71</v>
      </c>
      <c r="D21" s="61" t="inlineStr">
        <is>
          <t>Pavitha.M</t>
        </is>
      </c>
      <c r="E21" s="68" t="inlineStr">
        <is>
          <t>sanupavi1220@gmail.com</t>
        </is>
      </c>
      <c r="F21" s="68" t="inlineStr">
        <is>
          <t>0766277417</t>
        </is>
      </c>
      <c r="G21" s="68" t="inlineStr">
        <is>
          <t>200460301585</t>
        </is>
      </c>
      <c r="H21" s="68" t="inlineStr">
        <is>
          <t>BSc (Hons) in Information Technology - Cyber Security</t>
        </is>
      </c>
      <c r="I21" s="68" t="inlineStr">
        <is>
          <t>3rd Year</t>
        </is>
      </c>
      <c r="J21" s="68" t="inlineStr">
        <is>
          <t>Female</t>
        </is>
      </c>
      <c r="K21" s="68" t="inlineStr">
        <is>
          <t>Priority ⭐️</t>
        </is>
      </c>
      <c r="L21" s="68" t="inlineStr">
        <is>
          <t>Yes</t>
        </is>
      </c>
      <c r="M21" s="68" t="inlineStr">
        <is>
          <t>102645600</t>
        </is>
      </c>
      <c r="N21" s="68" t="inlineStr">
        <is>
          <t>No</t>
        </is>
      </c>
      <c r="O21" s="68" t="inlineStr">
        <is>
          <t>-</t>
        </is>
      </c>
      <c r="P21" s="68" t="inlineStr">
        <is>
          <t>Vegetarian</t>
        </is>
      </c>
      <c r="Q21" s="68" t="inlineStr">
        <is>
          <t>LOOP-ROOT-A02B</t>
        </is>
      </c>
      <c r="R21" s="68" t="inlineStr">
        <is>
          <t>waitlisted</t>
        </is>
      </c>
      <c r="S21" s="68" t="inlineStr">
        <is>
          <t>8/15/2026, 9:43:22 PM</t>
        </is>
      </c>
      <c r="T21" s="68" t="inlineStr">
        <is>
          <t>It will help for to make my CV strong and chance to develop my skills and communication also</t>
        </is>
      </c>
      <c r="U21" s="68" t="inlineStr">
        <is>
          <t>-</t>
        </is>
      </c>
      <c r="V21" s="69" t="inlineStr">
        <is>
          <t>only IEEE membership</t>
        </is>
      </c>
    </row>
    <row r="22" ht="14.25" customHeight="1" s="108">
      <c r="A22" s="58" t="n">
        <v>1</v>
      </c>
      <c r="B22" s="59" t="inlineStr">
        <is>
          <t>Confirmed</t>
        </is>
      </c>
      <c r="C22" s="60" t="n">
        <v>72</v>
      </c>
      <c r="D22" s="61" t="inlineStr">
        <is>
          <t>Dinali Sewmini Nawarathna</t>
        </is>
      </c>
      <c r="E22" s="68" t="inlineStr">
        <is>
          <t>dinalinawarathna@gmail.com</t>
        </is>
      </c>
      <c r="F22" s="68" t="inlineStr">
        <is>
          <t>0767697253</t>
        </is>
      </c>
      <c r="G22" s="68" t="inlineStr">
        <is>
          <t>200282001902</t>
        </is>
      </c>
      <c r="H22" s="68" t="inlineStr">
        <is>
          <t>BSc (Hons) in Software Engineering</t>
        </is>
      </c>
      <c r="I22" s="68" t="inlineStr">
        <is>
          <t>3rd Year</t>
        </is>
      </c>
      <c r="J22" s="68" t="inlineStr">
        <is>
          <t>Female</t>
        </is>
      </c>
      <c r="K22" s="68" t="inlineStr">
        <is>
          <t>Priority ⭐️</t>
        </is>
      </c>
      <c r="L22" s="68" t="inlineStr">
        <is>
          <t>Yes</t>
        </is>
      </c>
      <c r="M22" s="68" t="inlineStr">
        <is>
          <t>102644287</t>
        </is>
      </c>
      <c r="N22" s="68" t="inlineStr">
        <is>
          <t>No</t>
        </is>
      </c>
      <c r="O22" s="68" t="inlineStr">
        <is>
          <t>-</t>
        </is>
      </c>
      <c r="P22" s="68" t="inlineStr">
        <is>
          <t>Vegetarian</t>
        </is>
      </c>
      <c r="Q22" s="68" t="inlineStr">
        <is>
          <t>LOOP-ROOT-21F0</t>
        </is>
      </c>
      <c r="R22" s="68" t="inlineStr">
        <is>
          <t>waitlisted</t>
        </is>
      </c>
      <c r="S22" s="68" t="inlineStr">
        <is>
          <t>8/15/2026, 9:47:11 PM</t>
        </is>
      </c>
      <c r="T22" s="68" t="inlineStr">
        <is>
          <t>I want to learn how AI is actually being used in the software industry today, especially in real-world projects.</t>
        </is>
      </c>
      <c r="U22" s="68" t="inlineStr">
        <is>
          <t>-</t>
        </is>
      </c>
      <c r="V22" s="69" t="inlineStr">
        <is>
          <t>only IEEE membership</t>
        </is>
      </c>
    </row>
    <row r="23" ht="14.25" customHeight="1" s="108">
      <c r="A23" s="58" t="n">
        <v>1</v>
      </c>
      <c r="B23" s="59" t="inlineStr">
        <is>
          <t>Confirmed</t>
        </is>
      </c>
      <c r="C23" s="60" t="n">
        <v>77</v>
      </c>
      <c r="D23" s="61" t="inlineStr">
        <is>
          <t>Kavindu Udhara</t>
        </is>
      </c>
      <c r="E23" s="68" t="inlineStr">
        <is>
          <t>wmkavinduudhara@gmail.com</t>
        </is>
      </c>
      <c r="F23" s="68" t="inlineStr">
        <is>
          <t>+94714282933</t>
        </is>
      </c>
      <c r="G23" s="68" t="inlineStr">
        <is>
          <t>200603103194</t>
        </is>
      </c>
      <c r="H23" s="68" t="inlineStr">
        <is>
          <t>BSc (Hons) in Information Technology - Artificial Intelligence</t>
        </is>
      </c>
      <c r="I23" s="68" t="inlineStr">
        <is>
          <t>2nd Year</t>
        </is>
      </c>
      <c r="J23" s="68" t="inlineStr">
        <is>
          <t>Male</t>
        </is>
      </c>
      <c r="K23" s="68" t="inlineStr">
        <is>
          <t>Priority ⭐️</t>
        </is>
      </c>
      <c r="L23" s="68" t="inlineStr">
        <is>
          <t>Yes</t>
        </is>
      </c>
      <c r="M23" s="68" t="inlineStr">
        <is>
          <t>99948554</t>
        </is>
      </c>
      <c r="N23" s="68" t="inlineStr">
        <is>
          <t>No</t>
        </is>
      </c>
      <c r="O23" s="68" t="inlineStr">
        <is>
          <t>-</t>
        </is>
      </c>
      <c r="P23" s="68" t="inlineStr">
        <is>
          <t>Non-Veg</t>
        </is>
      </c>
      <c r="Q23" s="68" t="inlineStr">
        <is>
          <t>LOOP-ROOT-9EA7</t>
        </is>
      </c>
      <c r="R23" s="68" t="inlineStr">
        <is>
          <t>waitlisted</t>
        </is>
      </c>
      <c r="S23" s="68" t="inlineStr">
        <is>
          <t>8/15/2026, 10:12:06 PM</t>
        </is>
      </c>
      <c r="T23" s="68" t="inlineStr">
        <is>
          <t>As a student who do a specialization in AI as well as doing business process automation in my startup, I'd love to see how rootcode would use AI for their workflows.</t>
        </is>
      </c>
      <c r="U23" s="68" t="inlineStr">
        <is>
          <t>-</t>
        </is>
      </c>
      <c r="V23" s="69" t="inlineStr">
        <is>
          <t>only IEEE membership</t>
        </is>
      </c>
    </row>
    <row r="24" ht="14.25" customHeight="1" s="108">
      <c r="A24" s="58" t="n">
        <v>1</v>
      </c>
      <c r="B24" s="59" t="inlineStr">
        <is>
          <t>Confirmed</t>
        </is>
      </c>
      <c r="C24" s="60" t="n">
        <v>80</v>
      </c>
      <c r="D24" s="61" t="inlineStr">
        <is>
          <t>Pabasara Gunawardhana</t>
        </is>
      </c>
      <c r="E24" s="68" t="inlineStr">
        <is>
          <t>pabagunawardhana@gmail.com</t>
        </is>
      </c>
      <c r="F24" s="68" t="inlineStr">
        <is>
          <t>+94715526677</t>
        </is>
      </c>
      <c r="G24" s="68" t="inlineStr">
        <is>
          <t>200583000638</t>
        </is>
      </c>
      <c r="H24" s="68" t="inlineStr">
        <is>
          <t>BSc (Hons) in Computer Science</t>
        </is>
      </c>
      <c r="I24" s="68" t="inlineStr">
        <is>
          <t>2nd Year</t>
        </is>
      </c>
      <c r="J24" s="68" t="inlineStr">
        <is>
          <t>Female</t>
        </is>
      </c>
      <c r="K24" s="68" t="inlineStr">
        <is>
          <t>Priority ⭐️</t>
        </is>
      </c>
      <c r="L24" s="68" t="inlineStr">
        <is>
          <t>Yes</t>
        </is>
      </c>
      <c r="M24" s="68" t="inlineStr">
        <is>
          <t>102638092</t>
        </is>
      </c>
      <c r="N24" s="68" t="inlineStr">
        <is>
          <t>No</t>
        </is>
      </c>
      <c r="O24" s="68" t="inlineStr">
        <is>
          <t>-</t>
        </is>
      </c>
      <c r="P24" s="68" t="inlineStr">
        <is>
          <t>Non-Veg</t>
        </is>
      </c>
      <c r="Q24" s="68" t="inlineStr">
        <is>
          <t>LOOP-ROOT-07A4</t>
        </is>
      </c>
      <c r="R24" s="68" t="inlineStr">
        <is>
          <t>waitlisted</t>
        </is>
      </c>
      <c r="S24" s="68" t="inlineStr">
        <is>
          <t>8/15/2026, 10:31:41 PM</t>
        </is>
      </c>
      <c r="T24" s="68" t="inlineStr">
        <is>
          <t>I want to gain practical exposure to how the industry operates, understand real-world engineering and technology applications, and learn about career opportunities in the field. This visit will also help me connect my academic knowledge with industry practices.</t>
        </is>
      </c>
      <c r="U24" s="68" t="inlineStr">
        <is>
          <t>-</t>
        </is>
      </c>
      <c r="V24" s="69" t="inlineStr">
        <is>
          <t>only IEEE membership</t>
        </is>
      </c>
    </row>
    <row r="25" ht="14.25" customHeight="1" s="108">
      <c r="A25" s="58" t="n">
        <v>1</v>
      </c>
      <c r="B25" s="59" t="inlineStr">
        <is>
          <t>Confirmed</t>
        </is>
      </c>
      <c r="C25" s="60" t="n">
        <v>22</v>
      </c>
      <c r="D25" s="61" t="inlineStr">
        <is>
          <t>Poorni Dananjana Rathnayake</t>
        </is>
      </c>
      <c r="E25" s="68" t="inlineStr">
        <is>
          <t>poorniidananjanaa01@gmail.com</t>
        </is>
      </c>
      <c r="F25" s="68" t="inlineStr">
        <is>
          <t>+94 71 6591 567</t>
        </is>
      </c>
      <c r="G25" s="68" t="inlineStr">
        <is>
          <t>200352303577</t>
        </is>
      </c>
      <c r="H25" s="68" t="inlineStr">
        <is>
          <t>BSc (Hons) in Information Technology - Information Technology</t>
        </is>
      </c>
      <c r="I25" s="68" t="inlineStr">
        <is>
          <t>3rd Year</t>
        </is>
      </c>
      <c r="J25" s="68" t="inlineStr">
        <is>
          <t>Female</t>
        </is>
      </c>
      <c r="K25" s="68" t="inlineStr">
        <is>
          <t>Priority ⭐️</t>
        </is>
      </c>
      <c r="L25" s="68" t="inlineStr">
        <is>
          <t>Yes</t>
        </is>
      </c>
      <c r="M25" s="68" t="inlineStr">
        <is>
          <t>102198902</t>
        </is>
      </c>
      <c r="N25" s="68" t="inlineStr">
        <is>
          <t>SLIIT Xtreme 2026</t>
        </is>
      </c>
      <c r="O25" s="68" t="inlineStr">
        <is>
          <t>-</t>
        </is>
      </c>
      <c r="P25" s="68" t="inlineStr">
        <is>
          <t>Non-Veg</t>
        </is>
      </c>
      <c r="Q25" s="68" t="inlineStr">
        <is>
          <t>LOOP-ROOT-A83B</t>
        </is>
      </c>
      <c r="R25" s="68" t="inlineStr">
        <is>
          <t>confirmed</t>
        </is>
      </c>
      <c r="S25" s="68" t="inlineStr">
        <is>
          <t>8/15/2026, 7:37:02 PM</t>
        </is>
      </c>
      <c r="T25" s="68" t="inlineStr">
        <is>
          <t>I have never had the opportunity to participate in an industry visit before, so this will be my first field visit. I am enthusiastic about AI, machine learning, and software development, and I would love to gain practical insights into how these areas are applied in the real-world IT industry. I believe visiting Rootcode will be a valuable opportunity to learn from industry professionals, explore career possibilities, and connect my academic knowledge with industry practices.</t>
        </is>
      </c>
      <c r="U25" s="68" t="inlineStr">
        <is>
          <t>-</t>
        </is>
      </c>
      <c r="V25" s="69" t="inlineStr">
        <is>
          <t>only IEEE membership</t>
        </is>
      </c>
    </row>
    <row r="26" ht="14.25" customHeight="1" s="108">
      <c r="A26" s="59" t="n">
        <v>1</v>
      </c>
      <c r="B26" s="59" t="inlineStr">
        <is>
          <t>Confirmed</t>
        </is>
      </c>
      <c r="C26" s="60" t="n">
        <v>51</v>
      </c>
      <c r="D26" s="61" t="inlineStr">
        <is>
          <t>Saravanaa Ravi</t>
        </is>
      </c>
      <c r="E26" s="70" t="inlineStr">
        <is>
          <t>saravanaaravi218@gmail.com</t>
        </is>
      </c>
      <c r="F26" s="70" t="inlineStr">
        <is>
          <t>0707021807</t>
        </is>
      </c>
      <c r="G26" s="70" t="inlineStr">
        <is>
          <t>200300800837</t>
        </is>
      </c>
      <c r="H26" s="70" t="inlineStr">
        <is>
          <t>BSc (Hons) in Information Technology - Computer Systems &amp; Network Engineering</t>
        </is>
      </c>
      <c r="I26" s="70" t="inlineStr">
        <is>
          <t>3rd Year</t>
        </is>
      </c>
      <c r="J26" s="70" t="inlineStr">
        <is>
          <t>Male</t>
        </is>
      </c>
      <c r="K26" s="70" t="inlineStr">
        <is>
          <t>Priority ⭐️</t>
        </is>
      </c>
      <c r="L26" s="70" t="inlineStr">
        <is>
          <t>No</t>
        </is>
      </c>
      <c r="M26" s="70" t="inlineStr">
        <is>
          <t>-</t>
        </is>
      </c>
      <c r="N26" s="70" t="inlineStr">
        <is>
          <t>SLIIT Xtreme 2026</t>
        </is>
      </c>
      <c r="O26" s="70" t="inlineStr">
        <is>
          <t>-</t>
        </is>
      </c>
      <c r="P26" s="70" t="inlineStr">
        <is>
          <t>Non-Veg</t>
        </is>
      </c>
      <c r="Q26" s="70" t="inlineStr">
        <is>
          <t>LOOP-ROOT-D60F</t>
        </is>
      </c>
      <c r="R26" s="70" t="inlineStr">
        <is>
          <t>waitlisted</t>
        </is>
      </c>
      <c r="S26" s="70" t="inlineStr">
        <is>
          <t>8/15/2026, 8:13:13 PM</t>
        </is>
      </c>
      <c r="T26" s="70" t="inlineStr">
        <is>
          <t>I’m interested in joining this industry connect session to gain insights into current industry trends, learn from experienced professionals, and better understand the skills and opportunities available in the field. I also look forward to building meaningful connections and exploring ways to grow professionally.</t>
        </is>
      </c>
      <c r="U26" s="70" t="inlineStr">
        <is>
          <t>My motivation for joining this industry connect session is to gain practical industry insights, learn from experienced professionals, and understand current career opportunities and expectations. I also hope to build valuable connections and gain knowledge that will support my professional growth</t>
        </is>
      </c>
      <c r="V26" s="71" t="inlineStr">
        <is>
          <t>in the oc cybershild 4.0 and xtream 4.0</t>
        </is>
      </c>
    </row>
    <row r="27" ht="14.25" customHeight="1" s="108">
      <c r="A27" s="72" t="n">
        <v>1</v>
      </c>
      <c r="B27" s="72" t="inlineStr">
        <is>
          <t>Confirmed</t>
        </is>
      </c>
      <c r="C27" s="72" t="n"/>
      <c r="D27" s="72" t="inlineStr">
        <is>
          <t>Imanya Gunarathne</t>
        </is>
      </c>
      <c r="E27" s="4" t="inlineStr">
        <is>
          <t>imanyaa18@gmail.com</t>
        </is>
      </c>
      <c r="F27" s="4" t="n">
        <v>763045629</v>
      </c>
      <c r="G27" s="4" t="n">
        <v>200563901946</v>
      </c>
      <c r="H27" s="4" t="inlineStr">
        <is>
          <t>BSC (Hons) in Computer Science</t>
        </is>
      </c>
      <c r="I27" s="73" t="inlineStr">
        <is>
          <t>2nd Year</t>
        </is>
      </c>
      <c r="J27" s="73" t="inlineStr">
        <is>
          <t>Female</t>
        </is>
      </c>
      <c r="M27" s="4" t="n">
        <v>102647041</v>
      </c>
    </row>
    <row r="28" ht="14.25" customHeight="1" s="108"/>
    <row r="29" ht="14.25" customHeight="1" s="108">
      <c r="A29" s="4" t="inlineStr">
        <is>
          <t>total</t>
        </is>
      </c>
      <c r="B29" s="4" t="n">
        <v>26</v>
      </c>
    </row>
    <row r="30" ht="14.25" customHeight="1" s="108"/>
    <row r="31" ht="14.25" customHeight="1" s="108">
      <c r="D31" s="74" t="inlineStr">
        <is>
          <t>Total all members confirmed</t>
        </is>
      </c>
    </row>
    <row r="32" ht="14.25" customHeight="1" s="108">
      <c r="D32" s="75" t="n">
        <v>30</v>
      </c>
    </row>
    <row r="33" ht="14.25" customHeight="1" s="108"/>
    <row r="34" ht="14.25" customHeight="1" s="108"/>
    <row r="35" ht="14.25" customHeight="1" s="108">
      <c r="D35" s="76" t="inlineStr">
        <is>
          <t>Pending</t>
        </is>
      </c>
    </row>
    <row r="36" ht="14.25" customHeight="1" s="108">
      <c r="D36" s="76" t="n"/>
    </row>
    <row r="37" ht="14.25" customHeight="1" s="108"/>
    <row r="38" ht="14.25" customHeight="1" s="108"/>
    <row r="39" ht="14.25" customHeight="1" s="108">
      <c r="D39" s="77" t="inlineStr">
        <is>
          <t>Reserved for SB - 1</t>
        </is>
      </c>
    </row>
    <row r="40" ht="14.25" customHeight="1" s="108">
      <c r="D40" s="78" t="inlineStr">
        <is>
          <t>ExCom + Shashika madam - 3</t>
        </is>
      </c>
    </row>
    <row r="41" ht="14.25" customHeight="1" s="108"/>
    <row r="42" ht="14.25" customHeight="1" s="108"/>
    <row r="43" ht="14.25" customHeight="1" s="108"/>
    <row r="44" ht="14.25" customHeight="1" s="108"/>
    <row r="45" ht="14.25" customHeight="1" s="108"/>
    <row r="46" ht="14.25" customHeight="1" s="108"/>
    <row r="47" ht="14.25" customHeight="1" s="108"/>
    <row r="48" ht="14.25" customHeight="1" s="108"/>
    <row r="49" ht="14.25" customHeight="1" s="108"/>
    <row r="50" ht="14.25" customHeight="1" s="108"/>
    <row r="51" ht="14.25" customHeight="1" s="108"/>
    <row r="52" ht="14.25" customHeight="1" s="108"/>
    <row r="53" ht="14.25" customHeight="1" s="108"/>
    <row r="54" ht="14.25" customHeight="1" s="108"/>
    <row r="55" ht="14.25" customHeight="1" s="108"/>
    <row r="56" ht="14.25" customHeight="1" s="108"/>
    <row r="57" ht="14.25" customHeight="1" s="108"/>
    <row r="58" ht="14.25" customHeight="1" s="108"/>
    <row r="59" ht="14.25" customHeight="1" s="108"/>
    <row r="60" ht="14.25" customHeight="1" s="108"/>
    <row r="61" ht="14.25" customHeight="1" s="108"/>
    <row r="62" ht="14.25" customHeight="1" s="108"/>
    <row r="63" ht="14.25" customHeight="1" s="108"/>
    <row r="64" ht="14.25" customHeight="1" s="108"/>
    <row r="65" ht="14.25" customHeight="1" s="108"/>
    <row r="66" ht="14.25" customHeight="1" s="108"/>
    <row r="67" ht="14.25" customHeight="1" s="108"/>
    <row r="68" ht="14.25" customHeight="1" s="108"/>
    <row r="69" ht="14.25" customHeight="1" s="108"/>
    <row r="70" ht="14.25" customHeight="1" s="108"/>
    <row r="71" ht="14.25" customHeight="1" s="108"/>
    <row r="72" ht="14.25" customHeight="1" s="108"/>
    <row r="73" ht="14.25" customHeight="1" s="108"/>
    <row r="74" ht="14.25" customHeight="1" s="108"/>
    <row r="75" ht="14.25" customHeight="1" s="108"/>
    <row r="76" ht="14.25" customHeight="1" s="108"/>
    <row r="77" ht="14.25" customHeight="1" s="108"/>
    <row r="78" ht="14.25" customHeight="1" s="108"/>
    <row r="79" ht="14.25" customHeight="1" s="108"/>
    <row r="80" ht="14.25" customHeight="1" s="108"/>
    <row r="81" ht="14.25" customHeight="1" s="108"/>
    <row r="82" ht="14.25" customHeight="1" s="108"/>
    <row r="83" ht="14.25" customHeight="1" s="108"/>
    <row r="84" ht="14.25" customHeight="1" s="108"/>
    <row r="85" ht="14.25" customHeight="1" s="108"/>
    <row r="86" ht="14.25" customHeight="1" s="108"/>
    <row r="87" ht="14.25" customHeight="1" s="108"/>
    <row r="88" ht="14.25" customHeight="1" s="108"/>
    <row r="89" ht="14.25" customHeight="1" s="108"/>
    <row r="90" ht="14.25" customHeight="1" s="108"/>
    <row r="91" ht="14.25" customHeight="1" s="108"/>
    <row r="92" ht="14.25" customHeight="1" s="108"/>
    <row r="93" ht="14.25" customHeight="1" s="108"/>
    <row r="94" ht="14.25" customHeight="1" s="108"/>
    <row r="95" ht="14.25" customHeight="1" s="108"/>
    <row r="96" ht="14.25" customHeight="1" s="108"/>
    <row r="97" ht="14.25" customHeight="1" s="108"/>
    <row r="98" ht="14.25" customHeight="1" s="108"/>
    <row r="99" ht="14.25" customHeight="1" s="108"/>
    <row r="100" ht="14.25" customHeight="1" s="108"/>
    <row r="101" ht="14.25" customHeight="1" s="108"/>
    <row r="102" ht="14.25" customHeight="1" s="108"/>
    <row r="103" ht="14.25" customHeight="1" s="108"/>
    <row r="104" ht="14.25" customHeight="1" s="108"/>
    <row r="105" ht="14.25" customHeight="1" s="108"/>
    <row r="106" ht="14.25" customHeight="1" s="108"/>
    <row r="107" ht="14.25" customHeight="1" s="108"/>
    <row r="108" ht="14.25" customHeight="1" s="108"/>
    <row r="109" ht="14.25" customHeight="1" s="108"/>
    <row r="110" ht="14.25" customHeight="1" s="108"/>
    <row r="111" ht="14.25" customHeight="1" s="108"/>
    <row r="112" ht="14.25" customHeight="1" s="108"/>
    <row r="113" ht="14.25" customHeight="1" s="108"/>
    <row r="114" ht="14.25" customHeight="1" s="108"/>
    <row r="115" ht="14.25" customHeight="1" s="108"/>
    <row r="116" ht="14.25" customHeight="1" s="108"/>
    <row r="117" ht="14.25" customHeight="1" s="108"/>
    <row r="118" ht="14.25" customHeight="1" s="108"/>
    <row r="119" ht="14.25" customHeight="1" s="108"/>
    <row r="120" ht="14.25" customHeight="1" s="108"/>
    <row r="121" ht="14.25" customHeight="1" s="108"/>
    <row r="122" ht="14.25" customHeight="1" s="108"/>
    <row r="123" ht="14.25" customHeight="1" s="108"/>
    <row r="124" ht="14.25" customHeight="1" s="108"/>
    <row r="125" ht="14.25" customHeight="1" s="108"/>
    <row r="126" ht="14.25" customHeight="1" s="108"/>
    <row r="127" ht="14.25" customHeight="1" s="108"/>
    <row r="128" ht="14.25" customHeight="1" s="108"/>
    <row r="129" ht="14.25" customHeight="1" s="108"/>
    <row r="130" ht="14.25" customHeight="1" s="108"/>
    <row r="131" ht="14.25" customHeight="1" s="108"/>
    <row r="132" ht="14.25" customHeight="1" s="108"/>
    <row r="133" ht="14.25" customHeight="1" s="108"/>
    <row r="134" ht="14.25" customHeight="1" s="108"/>
    <row r="135" ht="14.25" customHeight="1" s="108"/>
    <row r="136" ht="14.25" customHeight="1" s="108"/>
    <row r="137" ht="14.25" customHeight="1" s="108"/>
    <row r="138" ht="14.25" customHeight="1" s="108"/>
    <row r="139" ht="14.25" customHeight="1" s="108"/>
    <row r="140" ht="14.25" customHeight="1" s="108"/>
    <row r="141" ht="14.25" customHeight="1" s="108"/>
    <row r="142" ht="14.25" customHeight="1" s="108"/>
    <row r="143" ht="14.25" customHeight="1" s="108"/>
    <row r="144" ht="14.25" customHeight="1" s="108"/>
    <row r="145" ht="14.25" customHeight="1" s="108"/>
    <row r="146" ht="14.25" customHeight="1" s="108"/>
    <row r="147" ht="14.25" customHeight="1" s="108"/>
    <row r="148" ht="14.25" customHeight="1" s="108"/>
    <row r="149" ht="14.25" customHeight="1" s="108"/>
    <row r="150" ht="14.25" customHeight="1" s="108"/>
    <row r="151" ht="14.25" customHeight="1" s="108"/>
    <row r="152" ht="14.25" customHeight="1" s="108"/>
    <row r="153" ht="14.25" customHeight="1" s="108"/>
    <row r="154" ht="14.25" customHeight="1" s="108"/>
    <row r="155" ht="14.25" customHeight="1" s="108"/>
    <row r="156" ht="14.25" customHeight="1" s="108"/>
    <row r="157" ht="14.25" customHeight="1" s="108"/>
    <row r="158" ht="14.25" customHeight="1" s="108"/>
    <row r="159" ht="14.25" customHeight="1" s="108"/>
    <row r="160" ht="14.25" customHeight="1" s="108"/>
    <row r="161" ht="14.25" customHeight="1" s="108"/>
    <row r="162" ht="14.25" customHeight="1" s="108"/>
    <row r="163" ht="14.25" customHeight="1" s="108"/>
    <row r="164" ht="14.25" customHeight="1" s="108"/>
    <row r="165" ht="14.25" customHeight="1" s="108"/>
    <row r="166" ht="14.25" customHeight="1" s="108"/>
    <row r="167" ht="14.25" customHeight="1" s="108"/>
    <row r="168" ht="14.25" customHeight="1" s="108"/>
    <row r="169" ht="14.25" customHeight="1" s="108"/>
    <row r="170" ht="14.25" customHeight="1" s="108"/>
    <row r="171" ht="14.25" customHeight="1" s="108"/>
    <row r="172" ht="14.25" customHeight="1" s="108"/>
    <row r="173" ht="14.25" customHeight="1" s="108"/>
    <row r="174" ht="14.25" customHeight="1" s="108"/>
    <row r="175" ht="14.25" customHeight="1" s="108"/>
    <row r="176" ht="14.25" customHeight="1" s="108"/>
    <row r="177" ht="14.25" customHeight="1" s="108"/>
    <row r="178" ht="14.25" customHeight="1" s="108"/>
    <row r="179" ht="14.25" customHeight="1" s="108"/>
    <row r="180" ht="14.25" customHeight="1" s="108"/>
    <row r="181" ht="14.25" customHeight="1" s="108"/>
    <row r="182" ht="14.25" customHeight="1" s="108"/>
    <row r="183" ht="14.25" customHeight="1" s="108"/>
    <row r="184" ht="14.25" customHeight="1" s="108"/>
    <row r="185" ht="14.25" customHeight="1" s="108"/>
    <row r="186" ht="14.25" customHeight="1" s="108"/>
    <row r="187" ht="14.25" customHeight="1" s="108"/>
    <row r="188" ht="14.25" customHeight="1" s="108"/>
    <row r="189" ht="14.25" customHeight="1" s="108"/>
    <row r="190" ht="14.25" customHeight="1" s="108"/>
    <row r="191" ht="14.25" customHeight="1" s="108"/>
    <row r="192" ht="14.25" customHeight="1" s="108"/>
    <row r="193" ht="14.25" customHeight="1" s="108"/>
    <row r="194" ht="14.25" customHeight="1" s="108"/>
    <row r="195" ht="14.25" customHeight="1" s="108"/>
    <row r="196" ht="14.25" customHeight="1" s="108"/>
    <row r="197" ht="14.25" customHeight="1" s="108"/>
    <row r="198" ht="14.25" customHeight="1" s="108"/>
    <row r="199" ht="14.25" customHeight="1" s="108"/>
    <row r="200" ht="14.25" customHeight="1" s="108"/>
    <row r="201" ht="14.25" customHeight="1" s="108"/>
    <row r="202" ht="14.25" customHeight="1" s="108"/>
    <row r="203" ht="14.25" customHeight="1" s="108"/>
    <row r="204" ht="14.25" customHeight="1" s="108"/>
    <row r="205" ht="14.25" customHeight="1" s="108"/>
    <row r="206" ht="14.25" customHeight="1" s="108"/>
    <row r="207" ht="14.25" customHeight="1" s="108"/>
    <row r="208" ht="14.25" customHeight="1" s="108"/>
    <row r="209" ht="14.25" customHeight="1" s="108"/>
    <row r="210" ht="14.25" customHeight="1" s="108"/>
    <row r="211" ht="14.25" customHeight="1" s="108"/>
    <row r="212" ht="14.25" customHeight="1" s="108"/>
    <row r="213" ht="14.25" customHeight="1" s="108"/>
    <row r="214" ht="14.25" customHeight="1" s="108"/>
    <row r="215" ht="14.25" customHeight="1" s="108"/>
    <row r="216" ht="14.25" customHeight="1" s="108"/>
    <row r="217" ht="14.25" customHeight="1" s="108"/>
    <row r="218" ht="14.25" customHeight="1" s="108"/>
    <row r="219" ht="14.25" customHeight="1" s="108"/>
    <row r="220" ht="14.25" customHeight="1" s="108"/>
    <row r="221" ht="14.25" customHeight="1" s="108"/>
    <row r="222" ht="14.25" customHeight="1" s="108"/>
    <row r="223" ht="14.25" customHeight="1" s="108"/>
    <row r="224" ht="14.25" customHeight="1" s="108"/>
    <row r="225" ht="14.25" customHeight="1" s="108"/>
    <row r="226" ht="14.25" customHeight="1" s="108"/>
    <row r="227" ht="14.25" customHeight="1" s="108"/>
    <row r="228" ht="14.25" customHeight="1" s="108"/>
    <row r="229" ht="14.25" customHeight="1" s="108"/>
    <row r="230" ht="14.25" customHeight="1" s="108"/>
    <row r="231" ht="14.25" customHeight="1" s="108"/>
    <row r="232" ht="14.25" customHeight="1" s="108"/>
    <row r="233" ht="14.25" customHeight="1" s="108"/>
    <row r="234" ht="14.25" customHeight="1" s="108"/>
    <row r="235" ht="14.25" customHeight="1" s="108"/>
    <row r="236" ht="14.25" customHeight="1" s="108"/>
    <row r="237" ht="14.25" customHeight="1" s="108"/>
    <row r="238" ht="14.25" customHeight="1" s="108"/>
    <row r="239" ht="14.25" customHeight="1" s="108"/>
    <row r="240" ht="14.25" customHeight="1" s="108"/>
    <row r="241" ht="14.25" customHeight="1" s="108"/>
    <row r="242" ht="14.25" customHeight="1" s="108"/>
    <row r="243" ht="14.25" customHeight="1" s="108"/>
    <row r="244" ht="14.25" customHeight="1" s="108"/>
    <row r="245" ht="14.25" customHeight="1" s="108"/>
    <row r="246" ht="14.25" customHeight="1" s="108"/>
    <row r="247" ht="14.25" customHeight="1" s="108"/>
    <row r="248" ht="14.25" customHeight="1" s="108"/>
    <row r="249" ht="14.25" customHeight="1" s="108"/>
    <row r="250" ht="14.25" customHeight="1" s="108"/>
    <row r="251" ht="14.25" customHeight="1" s="108"/>
    <row r="252" ht="14.25" customHeight="1" s="108"/>
    <row r="253" ht="14.25" customHeight="1" s="108"/>
    <row r="254" ht="14.25" customHeight="1" s="108"/>
    <row r="255" ht="14.25" customHeight="1" s="108"/>
    <row r="256" ht="14.25" customHeight="1" s="108"/>
    <row r="257" ht="14.25" customHeight="1" s="108"/>
    <row r="258" ht="14.25" customHeight="1" s="108"/>
    <row r="259" ht="14.25" customHeight="1" s="108"/>
    <row r="260" ht="14.25" customHeight="1" s="108"/>
    <row r="261" ht="14.25" customHeight="1" s="108"/>
    <row r="262" ht="14.25" customHeight="1" s="108"/>
    <row r="263" ht="14.25" customHeight="1" s="108"/>
    <row r="264" ht="14.25" customHeight="1" s="108"/>
    <row r="265" ht="14.25" customHeight="1" s="108"/>
    <row r="266" ht="14.25" customHeight="1" s="108"/>
    <row r="267" ht="14.25" customHeight="1" s="108"/>
    <row r="268" ht="14.25" customHeight="1" s="108"/>
    <row r="269" ht="14.25" customHeight="1" s="108"/>
    <row r="270" ht="14.25" customHeight="1" s="108"/>
    <row r="271" ht="14.25" customHeight="1" s="108"/>
    <row r="272" ht="14.25" customHeight="1" s="108"/>
    <row r="273" ht="14.25" customHeight="1" s="108"/>
    <row r="274" ht="14.25" customHeight="1" s="108"/>
    <row r="275" ht="14.25" customHeight="1" s="108"/>
    <row r="276" ht="14.25" customHeight="1" s="108"/>
    <row r="277" ht="14.25" customHeight="1" s="108"/>
    <row r="278" ht="14.25" customHeight="1" s="108"/>
    <row r="279" ht="14.25" customHeight="1" s="108"/>
    <row r="280" ht="14.25" customHeight="1" s="108"/>
    <row r="281" ht="14.25" customHeight="1" s="108"/>
    <row r="282" ht="14.25" customHeight="1" s="108"/>
    <row r="283" ht="14.25" customHeight="1" s="108"/>
    <row r="284" ht="14.25" customHeight="1" s="108"/>
    <row r="285" ht="14.25" customHeight="1" s="108"/>
    <row r="286" ht="14.25" customHeight="1" s="108"/>
    <row r="287" ht="14.25" customHeight="1" s="108"/>
    <row r="288" ht="14.25" customHeight="1" s="108"/>
    <row r="289" ht="14.25" customHeight="1" s="108"/>
    <row r="290" ht="14.25" customHeight="1" s="108"/>
    <row r="291" ht="14.25" customHeight="1" s="108"/>
    <row r="292" ht="14.25" customHeight="1" s="108"/>
    <row r="293" ht="14.25" customHeight="1" s="108"/>
    <row r="294" ht="14.25" customHeight="1" s="108"/>
    <row r="295" ht="14.25" customHeight="1" s="108"/>
    <row r="296" ht="14.25" customHeight="1" s="108"/>
    <row r="297" ht="14.25" customHeight="1" s="108"/>
    <row r="298" ht="14.25" customHeight="1" s="108"/>
    <row r="299" ht="14.25" customHeight="1" s="108"/>
    <row r="300" ht="14.25" customHeight="1" s="108"/>
    <row r="301" ht="14.25" customHeight="1" s="108"/>
    <row r="302" ht="14.25" customHeight="1" s="108"/>
    <row r="303" ht="14.25" customHeight="1" s="108"/>
    <row r="304" ht="14.25" customHeight="1" s="108"/>
    <row r="305" ht="14.25" customHeight="1" s="108"/>
    <row r="306" ht="14.25" customHeight="1" s="108"/>
    <row r="307" ht="14.25" customHeight="1" s="108"/>
    <row r="308" ht="14.25" customHeight="1" s="108"/>
    <row r="309" ht="14.25" customHeight="1" s="108"/>
    <row r="310" ht="14.25" customHeight="1" s="108"/>
    <row r="311" ht="14.25" customHeight="1" s="108"/>
    <row r="312" ht="14.25" customHeight="1" s="108"/>
    <row r="313" ht="14.25" customHeight="1" s="108"/>
    <row r="314" ht="14.25" customHeight="1" s="108"/>
    <row r="315" ht="14.25" customHeight="1" s="108"/>
    <row r="316" ht="14.25" customHeight="1" s="108"/>
    <row r="317" ht="14.25" customHeight="1" s="108"/>
    <row r="318" ht="14.25" customHeight="1" s="108"/>
    <row r="319" ht="14.25" customHeight="1" s="108"/>
    <row r="320" ht="14.25" customHeight="1" s="108"/>
    <row r="321" ht="14.25" customHeight="1" s="108"/>
    <row r="322" ht="14.25" customHeight="1" s="108"/>
    <row r="323" ht="14.25" customHeight="1" s="108"/>
    <row r="324" ht="14.25" customHeight="1" s="108"/>
    <row r="325" ht="14.25" customHeight="1" s="108"/>
    <row r="326" ht="14.25" customHeight="1" s="108"/>
    <row r="327" ht="14.25" customHeight="1" s="108"/>
    <row r="328" ht="14.25" customHeight="1" s="108"/>
    <row r="329" ht="14.25" customHeight="1" s="108"/>
    <row r="330" ht="14.25" customHeight="1" s="108"/>
    <row r="331" ht="14.25" customHeight="1" s="108"/>
    <row r="332" ht="14.25" customHeight="1" s="108"/>
    <row r="333" ht="14.25" customHeight="1" s="108"/>
    <row r="334" ht="14.25" customHeight="1" s="108"/>
    <row r="335" ht="14.25" customHeight="1" s="108"/>
    <row r="336" ht="14.25" customHeight="1" s="108"/>
    <row r="337" ht="14.25" customHeight="1" s="108"/>
    <row r="338" ht="14.25" customHeight="1" s="108"/>
    <row r="339" ht="14.25" customHeight="1" s="108"/>
    <row r="340" ht="14.25" customHeight="1" s="108"/>
    <row r="341" ht="14.25" customHeight="1" s="108"/>
    <row r="342" ht="14.25" customHeight="1" s="108"/>
    <row r="343" ht="14.25" customHeight="1" s="108"/>
    <row r="344" ht="14.25" customHeight="1" s="108"/>
    <row r="345" ht="14.25" customHeight="1" s="108"/>
    <row r="346" ht="14.25" customHeight="1" s="108"/>
    <row r="347" ht="14.25" customHeight="1" s="108"/>
    <row r="348" ht="14.25" customHeight="1" s="108"/>
    <row r="349" ht="14.25" customHeight="1" s="108"/>
    <row r="350" ht="14.25" customHeight="1" s="108"/>
    <row r="351" ht="14.25" customHeight="1" s="108"/>
    <row r="352" ht="14.25" customHeight="1" s="108"/>
    <row r="353" ht="14.25" customHeight="1" s="108"/>
    <row r="354" ht="14.25" customHeight="1" s="108"/>
    <row r="355" ht="14.25" customHeight="1" s="108"/>
    <row r="356" ht="14.25" customHeight="1" s="108"/>
    <row r="357" ht="14.25" customHeight="1" s="108"/>
    <row r="358" ht="14.25" customHeight="1" s="108"/>
    <row r="359" ht="14.25" customHeight="1" s="108"/>
    <row r="360" ht="14.25" customHeight="1" s="108"/>
    <row r="361" ht="14.25" customHeight="1" s="108"/>
    <row r="362" ht="14.25" customHeight="1" s="108"/>
    <row r="363" ht="14.25" customHeight="1" s="108"/>
    <row r="364" ht="14.25" customHeight="1" s="108"/>
    <row r="365" ht="14.25" customHeight="1" s="108"/>
    <row r="366" ht="14.25" customHeight="1" s="108"/>
    <row r="367" ht="14.25" customHeight="1" s="108"/>
    <row r="368" ht="14.25" customHeight="1" s="108"/>
    <row r="369" ht="14.25" customHeight="1" s="108"/>
    <row r="370" ht="14.25" customHeight="1" s="108"/>
    <row r="371" ht="14.25" customHeight="1" s="108"/>
    <row r="372" ht="14.25" customHeight="1" s="108"/>
    <row r="373" ht="14.25" customHeight="1" s="108"/>
    <row r="374" ht="14.25" customHeight="1" s="108"/>
    <row r="375" ht="14.25" customHeight="1" s="108"/>
    <row r="376" ht="14.25" customHeight="1" s="108"/>
    <row r="377" ht="14.25" customHeight="1" s="108"/>
    <row r="378" ht="14.25" customHeight="1" s="108"/>
    <row r="379" ht="14.25" customHeight="1" s="108"/>
    <row r="380" ht="14.25" customHeight="1" s="108"/>
    <row r="381" ht="14.25" customHeight="1" s="108"/>
    <row r="382" ht="14.25" customHeight="1" s="108"/>
    <row r="383" ht="14.25" customHeight="1" s="108"/>
    <row r="384" ht="14.25" customHeight="1" s="108"/>
    <row r="385" ht="14.25" customHeight="1" s="108"/>
    <row r="386" ht="14.25" customHeight="1" s="108"/>
    <row r="387" ht="14.25" customHeight="1" s="108"/>
    <row r="388" ht="14.25" customHeight="1" s="108"/>
    <row r="389" ht="14.25" customHeight="1" s="108"/>
    <row r="390" ht="14.25" customHeight="1" s="108"/>
    <row r="391" ht="14.25" customHeight="1" s="108"/>
    <row r="392" ht="14.25" customHeight="1" s="108"/>
    <row r="393" ht="14.25" customHeight="1" s="108"/>
    <row r="394" ht="14.25" customHeight="1" s="108"/>
    <row r="395" ht="14.25" customHeight="1" s="108"/>
    <row r="396" ht="14.25" customHeight="1" s="108"/>
    <row r="397" ht="14.25" customHeight="1" s="108"/>
    <row r="398" ht="14.25" customHeight="1" s="108"/>
    <row r="399" ht="14.25" customHeight="1" s="108"/>
    <row r="400" ht="14.25" customHeight="1" s="108"/>
    <row r="401" ht="14.25" customHeight="1" s="108"/>
    <row r="402" ht="14.25" customHeight="1" s="108"/>
    <row r="403" ht="14.25" customHeight="1" s="108"/>
    <row r="404" ht="14.25" customHeight="1" s="108"/>
    <row r="405" ht="14.25" customHeight="1" s="108"/>
    <row r="406" ht="14.25" customHeight="1" s="108"/>
    <row r="407" ht="14.25" customHeight="1" s="108"/>
    <row r="408" ht="14.25" customHeight="1" s="108"/>
    <row r="409" ht="14.25" customHeight="1" s="108"/>
    <row r="410" ht="14.25" customHeight="1" s="108"/>
    <row r="411" ht="14.25" customHeight="1" s="108"/>
    <row r="412" ht="14.25" customHeight="1" s="108"/>
    <row r="413" ht="14.25" customHeight="1" s="108"/>
    <row r="414" ht="14.25" customHeight="1" s="108"/>
    <row r="415" ht="14.25" customHeight="1" s="108"/>
    <row r="416" ht="14.25" customHeight="1" s="108"/>
    <row r="417" ht="14.25" customHeight="1" s="108"/>
    <row r="418" ht="14.25" customHeight="1" s="108"/>
    <row r="419" ht="14.25" customHeight="1" s="108"/>
    <row r="420" ht="14.25" customHeight="1" s="108"/>
    <row r="421" ht="14.25" customHeight="1" s="108"/>
    <row r="422" ht="14.25" customHeight="1" s="108"/>
    <row r="423" ht="14.25" customHeight="1" s="108"/>
    <row r="424" ht="14.25" customHeight="1" s="108"/>
    <row r="425" ht="14.25" customHeight="1" s="108"/>
    <row r="426" ht="14.25" customHeight="1" s="108"/>
    <row r="427" ht="14.25" customHeight="1" s="108"/>
    <row r="428" ht="14.25" customHeight="1" s="108"/>
    <row r="429" ht="14.25" customHeight="1" s="108"/>
    <row r="430" ht="14.25" customHeight="1" s="108"/>
    <row r="431" ht="14.25" customHeight="1" s="108"/>
    <row r="432" ht="14.25" customHeight="1" s="108"/>
    <row r="433" ht="14.25" customHeight="1" s="108"/>
    <row r="434" ht="14.25" customHeight="1" s="108"/>
    <row r="435" ht="14.25" customHeight="1" s="108"/>
    <row r="436" ht="14.25" customHeight="1" s="108"/>
    <row r="437" ht="14.25" customHeight="1" s="108"/>
    <row r="438" ht="14.25" customHeight="1" s="108"/>
    <row r="439" ht="14.25" customHeight="1" s="108"/>
    <row r="440" ht="14.25" customHeight="1" s="108"/>
    <row r="441" ht="14.25" customHeight="1" s="108"/>
    <row r="442" ht="14.25" customHeight="1" s="108"/>
    <row r="443" ht="14.25" customHeight="1" s="108"/>
    <row r="444" ht="14.25" customHeight="1" s="108"/>
    <row r="445" ht="14.25" customHeight="1" s="108"/>
    <row r="446" ht="14.25" customHeight="1" s="108"/>
    <row r="447" ht="14.25" customHeight="1" s="108"/>
    <row r="448" ht="14.25" customHeight="1" s="108"/>
    <row r="449" ht="14.25" customHeight="1" s="108"/>
    <row r="450" ht="14.25" customHeight="1" s="108"/>
    <row r="451" ht="14.25" customHeight="1" s="108"/>
    <row r="452" ht="14.25" customHeight="1" s="108"/>
    <row r="453" ht="14.25" customHeight="1" s="108"/>
    <row r="454" ht="14.25" customHeight="1" s="108"/>
    <row r="455" ht="14.25" customHeight="1" s="108"/>
    <row r="456" ht="14.25" customHeight="1" s="108"/>
    <row r="457" ht="14.25" customHeight="1" s="108"/>
    <row r="458" ht="14.25" customHeight="1" s="108"/>
    <row r="459" ht="14.25" customHeight="1" s="108"/>
    <row r="460" ht="14.25" customHeight="1" s="108"/>
    <row r="461" ht="14.25" customHeight="1" s="108"/>
    <row r="462" ht="14.25" customHeight="1" s="108"/>
    <row r="463" ht="14.25" customHeight="1" s="108"/>
    <row r="464" ht="14.25" customHeight="1" s="108"/>
    <row r="465" ht="14.25" customHeight="1" s="108"/>
    <row r="466" ht="14.25" customHeight="1" s="108"/>
    <row r="467" ht="14.25" customHeight="1" s="108"/>
    <row r="468" ht="14.25" customHeight="1" s="108"/>
    <row r="469" ht="14.25" customHeight="1" s="108"/>
    <row r="470" ht="14.25" customHeight="1" s="108"/>
    <row r="471" ht="14.25" customHeight="1" s="108"/>
    <row r="472" ht="14.25" customHeight="1" s="108"/>
    <row r="473" ht="14.25" customHeight="1" s="108"/>
    <row r="474" ht="14.25" customHeight="1" s="108"/>
    <row r="475" ht="14.25" customHeight="1" s="108"/>
    <row r="476" ht="14.25" customHeight="1" s="108"/>
    <row r="477" ht="14.25" customHeight="1" s="108"/>
    <row r="478" ht="14.25" customHeight="1" s="108"/>
    <row r="479" ht="14.25" customHeight="1" s="108"/>
    <row r="480" ht="14.25" customHeight="1" s="108"/>
    <row r="481" ht="14.25" customHeight="1" s="108"/>
    <row r="482" ht="14.25" customHeight="1" s="108"/>
    <row r="483" ht="14.25" customHeight="1" s="108"/>
    <row r="484" ht="14.25" customHeight="1" s="108"/>
    <row r="485" ht="14.25" customHeight="1" s="108"/>
    <row r="486" ht="14.25" customHeight="1" s="108"/>
    <row r="487" ht="14.25" customHeight="1" s="108"/>
    <row r="488" ht="14.25" customHeight="1" s="108"/>
    <row r="489" ht="14.25" customHeight="1" s="108"/>
    <row r="490" ht="14.25" customHeight="1" s="108"/>
    <row r="491" ht="14.25" customHeight="1" s="108"/>
    <row r="492" ht="14.25" customHeight="1" s="108"/>
    <row r="493" ht="14.25" customHeight="1" s="108"/>
    <row r="494" ht="14.25" customHeight="1" s="108"/>
    <row r="495" ht="14.25" customHeight="1" s="108"/>
    <row r="496" ht="14.25" customHeight="1" s="108"/>
    <row r="497" ht="14.25" customHeight="1" s="108"/>
    <row r="498" ht="14.25" customHeight="1" s="108"/>
    <row r="499" ht="14.25" customHeight="1" s="108"/>
    <row r="500" ht="14.25" customHeight="1" s="108"/>
    <row r="501" ht="14.25" customHeight="1" s="108"/>
    <row r="502" ht="14.25" customHeight="1" s="108"/>
    <row r="503" ht="14.25" customHeight="1" s="108"/>
    <row r="504" ht="14.25" customHeight="1" s="108"/>
    <row r="505" ht="14.25" customHeight="1" s="108"/>
    <row r="506" ht="14.25" customHeight="1" s="108"/>
    <row r="507" ht="14.25" customHeight="1" s="108"/>
    <row r="508" ht="14.25" customHeight="1" s="108"/>
    <row r="509" ht="14.25" customHeight="1" s="108"/>
    <row r="510" ht="14.25" customHeight="1" s="108"/>
    <row r="511" ht="14.25" customHeight="1" s="108"/>
    <row r="512" ht="14.25" customHeight="1" s="108"/>
    <row r="513" ht="14.25" customHeight="1" s="108"/>
    <row r="514" ht="14.25" customHeight="1" s="108"/>
    <row r="515" ht="14.25" customHeight="1" s="108"/>
    <row r="516" ht="14.25" customHeight="1" s="108"/>
    <row r="517" ht="14.25" customHeight="1" s="108"/>
    <row r="518" ht="14.25" customHeight="1" s="108"/>
    <row r="519" ht="14.25" customHeight="1" s="108"/>
    <row r="520" ht="14.25" customHeight="1" s="108"/>
    <row r="521" ht="14.25" customHeight="1" s="108"/>
    <row r="522" ht="14.25" customHeight="1" s="108"/>
    <row r="523" ht="14.25" customHeight="1" s="108"/>
    <row r="524" ht="14.25" customHeight="1" s="108"/>
    <row r="525" ht="14.25" customHeight="1" s="108"/>
    <row r="526" ht="14.25" customHeight="1" s="108"/>
    <row r="527" ht="14.25" customHeight="1" s="108"/>
    <row r="528" ht="14.25" customHeight="1" s="108"/>
    <row r="529" ht="14.25" customHeight="1" s="108"/>
    <row r="530" ht="14.25" customHeight="1" s="108"/>
    <row r="531" ht="14.25" customHeight="1" s="108"/>
    <row r="532" ht="14.25" customHeight="1" s="108"/>
    <row r="533" ht="14.25" customHeight="1" s="108"/>
    <row r="534" ht="14.25" customHeight="1" s="108"/>
    <row r="535" ht="14.25" customHeight="1" s="108"/>
    <row r="536" ht="14.25" customHeight="1" s="108"/>
    <row r="537" ht="14.25" customHeight="1" s="108"/>
    <row r="538" ht="14.25" customHeight="1" s="108"/>
    <row r="539" ht="14.25" customHeight="1" s="108"/>
    <row r="540" ht="14.25" customHeight="1" s="108"/>
    <row r="541" ht="14.25" customHeight="1" s="108"/>
    <row r="542" ht="14.25" customHeight="1" s="108"/>
    <row r="543" ht="14.25" customHeight="1" s="108"/>
    <row r="544" ht="14.25" customHeight="1" s="108"/>
    <row r="545" ht="14.25" customHeight="1" s="108"/>
    <row r="546" ht="14.25" customHeight="1" s="108"/>
    <row r="547" ht="14.25" customHeight="1" s="108"/>
    <row r="548" ht="14.25" customHeight="1" s="108"/>
    <row r="549" ht="14.25" customHeight="1" s="108"/>
    <row r="550" ht="14.25" customHeight="1" s="108"/>
    <row r="551" ht="14.25" customHeight="1" s="108"/>
    <row r="552" ht="14.25" customHeight="1" s="108"/>
    <row r="553" ht="14.25" customHeight="1" s="108"/>
    <row r="554" ht="14.25" customHeight="1" s="108"/>
    <row r="555" ht="14.25" customHeight="1" s="108"/>
    <row r="556" ht="14.25" customHeight="1" s="108"/>
    <row r="557" ht="14.25" customHeight="1" s="108"/>
    <row r="558" ht="14.25" customHeight="1" s="108"/>
    <row r="559" ht="14.25" customHeight="1" s="108"/>
    <row r="560" ht="14.25" customHeight="1" s="108"/>
    <row r="561" ht="14.25" customHeight="1" s="108"/>
    <row r="562" ht="14.25" customHeight="1" s="108"/>
    <row r="563" ht="14.25" customHeight="1" s="108"/>
    <row r="564" ht="14.25" customHeight="1" s="108"/>
    <row r="565" ht="14.25" customHeight="1" s="108"/>
    <row r="566" ht="14.25" customHeight="1" s="108"/>
    <row r="567" ht="14.25" customHeight="1" s="108"/>
    <row r="568" ht="14.25" customHeight="1" s="108"/>
    <row r="569" ht="14.25" customHeight="1" s="108"/>
    <row r="570" ht="14.25" customHeight="1" s="108"/>
    <row r="571" ht="14.25" customHeight="1" s="108"/>
    <row r="572" ht="14.25" customHeight="1" s="108"/>
    <row r="573" ht="14.25" customHeight="1" s="108"/>
    <row r="574" ht="14.25" customHeight="1" s="108"/>
    <row r="575" ht="14.25" customHeight="1" s="108"/>
    <row r="576" ht="14.25" customHeight="1" s="108"/>
    <row r="577" ht="14.25" customHeight="1" s="108"/>
    <row r="578" ht="14.25" customHeight="1" s="108"/>
    <row r="579" ht="14.25" customHeight="1" s="108"/>
    <row r="580" ht="14.25" customHeight="1" s="108"/>
    <row r="581" ht="14.25" customHeight="1" s="108"/>
    <row r="582" ht="14.25" customHeight="1" s="108"/>
    <row r="583" ht="14.25" customHeight="1" s="108"/>
    <row r="584" ht="14.25" customHeight="1" s="108"/>
    <row r="585" ht="14.25" customHeight="1" s="108"/>
    <row r="586" ht="14.25" customHeight="1" s="108"/>
    <row r="587" ht="14.25" customHeight="1" s="108"/>
    <row r="588" ht="14.25" customHeight="1" s="108"/>
    <row r="589" ht="14.25" customHeight="1" s="108"/>
    <row r="590" ht="14.25" customHeight="1" s="108"/>
    <row r="591" ht="14.25" customHeight="1" s="108"/>
    <row r="592" ht="14.25" customHeight="1" s="108"/>
    <row r="593" ht="14.25" customHeight="1" s="108"/>
    <row r="594" ht="14.25" customHeight="1" s="108"/>
    <row r="595" ht="14.25" customHeight="1" s="108"/>
    <row r="596" ht="14.25" customHeight="1" s="108"/>
    <row r="597" ht="14.25" customHeight="1" s="108"/>
    <row r="598" ht="14.25" customHeight="1" s="108"/>
    <row r="599" ht="14.25" customHeight="1" s="108"/>
    <row r="600" ht="14.25" customHeight="1" s="108"/>
    <row r="601" ht="14.25" customHeight="1" s="108"/>
    <row r="602" ht="14.25" customHeight="1" s="108"/>
    <row r="603" ht="14.25" customHeight="1" s="108"/>
    <row r="604" ht="14.25" customHeight="1" s="108"/>
    <row r="605" ht="14.25" customHeight="1" s="108"/>
    <row r="606" ht="14.25" customHeight="1" s="108"/>
    <row r="607" ht="14.25" customHeight="1" s="108"/>
    <row r="608" ht="14.25" customHeight="1" s="108"/>
    <row r="609" ht="14.25" customHeight="1" s="108"/>
    <row r="610" ht="14.25" customHeight="1" s="108"/>
    <row r="611" ht="14.25" customHeight="1" s="108"/>
    <row r="612" ht="14.25" customHeight="1" s="108"/>
    <row r="613" ht="14.25" customHeight="1" s="108"/>
    <row r="614" ht="14.25" customHeight="1" s="108"/>
    <row r="615" ht="14.25" customHeight="1" s="108"/>
    <row r="616" ht="14.25" customHeight="1" s="108"/>
    <row r="617" ht="14.25" customHeight="1" s="108"/>
    <row r="618" ht="14.25" customHeight="1" s="108"/>
    <row r="619" ht="14.25" customHeight="1" s="108"/>
    <row r="620" ht="14.25" customHeight="1" s="108"/>
    <row r="621" ht="14.25" customHeight="1" s="108"/>
    <row r="622" ht="14.25" customHeight="1" s="108"/>
    <row r="623" ht="14.25" customHeight="1" s="108"/>
    <row r="624" ht="14.25" customHeight="1" s="108"/>
    <row r="625" ht="14.25" customHeight="1" s="108"/>
    <row r="626" ht="14.25" customHeight="1" s="108"/>
    <row r="627" ht="14.25" customHeight="1" s="108"/>
    <row r="628" ht="14.25" customHeight="1" s="108"/>
    <row r="629" ht="14.25" customHeight="1" s="108"/>
    <row r="630" ht="14.25" customHeight="1" s="108"/>
    <row r="631" ht="14.25" customHeight="1" s="108"/>
    <row r="632" ht="14.25" customHeight="1" s="108"/>
    <row r="633" ht="14.25" customHeight="1" s="108"/>
    <row r="634" ht="14.25" customHeight="1" s="108"/>
    <row r="635" ht="14.25" customHeight="1" s="108"/>
    <row r="636" ht="14.25" customHeight="1" s="108"/>
    <row r="637" ht="14.25" customHeight="1" s="108"/>
    <row r="638" ht="14.25" customHeight="1" s="108"/>
    <row r="639" ht="14.25" customHeight="1" s="108"/>
    <row r="640" ht="14.25" customHeight="1" s="108"/>
    <row r="641" ht="14.25" customHeight="1" s="108"/>
    <row r="642" ht="14.25" customHeight="1" s="108"/>
    <row r="643" ht="14.25" customHeight="1" s="108"/>
    <row r="644" ht="14.25" customHeight="1" s="108"/>
    <row r="645" ht="14.25" customHeight="1" s="108"/>
    <row r="646" ht="14.25" customHeight="1" s="108"/>
    <row r="647" ht="14.25" customHeight="1" s="108"/>
    <row r="648" ht="14.25" customHeight="1" s="108"/>
    <row r="649" ht="14.25" customHeight="1" s="108"/>
    <row r="650" ht="14.25" customHeight="1" s="108"/>
    <row r="651" ht="14.25" customHeight="1" s="108"/>
    <row r="652" ht="14.25" customHeight="1" s="108"/>
    <row r="653" ht="14.25" customHeight="1" s="108"/>
    <row r="654" ht="14.25" customHeight="1" s="108"/>
    <row r="655" ht="14.25" customHeight="1" s="108"/>
    <row r="656" ht="14.25" customHeight="1" s="108"/>
    <row r="657" ht="14.25" customHeight="1" s="108"/>
    <row r="658" ht="14.25" customHeight="1" s="108"/>
    <row r="659" ht="14.25" customHeight="1" s="108"/>
    <row r="660" ht="14.25" customHeight="1" s="108"/>
    <row r="661" ht="14.25" customHeight="1" s="108"/>
    <row r="662" ht="14.25" customHeight="1" s="108"/>
    <row r="663" ht="14.25" customHeight="1" s="108"/>
    <row r="664" ht="14.25" customHeight="1" s="108"/>
    <row r="665" ht="14.25" customHeight="1" s="108"/>
    <row r="666" ht="14.25" customHeight="1" s="108"/>
    <row r="667" ht="14.25" customHeight="1" s="108"/>
    <row r="668" ht="14.25" customHeight="1" s="108"/>
    <row r="669" ht="14.25" customHeight="1" s="108"/>
    <row r="670" ht="14.25" customHeight="1" s="108"/>
    <row r="671" ht="14.25" customHeight="1" s="108"/>
    <row r="672" ht="14.25" customHeight="1" s="108"/>
    <row r="673" ht="14.25" customHeight="1" s="108"/>
    <row r="674" ht="14.25" customHeight="1" s="108"/>
    <row r="675" ht="14.25" customHeight="1" s="108"/>
    <row r="676" ht="14.25" customHeight="1" s="108"/>
    <row r="677" ht="14.25" customHeight="1" s="108"/>
    <row r="678" ht="14.25" customHeight="1" s="108"/>
    <row r="679" ht="14.25" customHeight="1" s="108"/>
    <row r="680" ht="14.25" customHeight="1" s="108"/>
    <row r="681" ht="14.25" customHeight="1" s="108"/>
    <row r="682" ht="14.25" customHeight="1" s="108"/>
    <row r="683" ht="14.25" customHeight="1" s="108"/>
    <row r="684" ht="14.25" customHeight="1" s="108"/>
    <row r="685" ht="14.25" customHeight="1" s="108"/>
    <row r="686" ht="14.25" customHeight="1" s="108"/>
    <row r="687" ht="14.25" customHeight="1" s="108"/>
    <row r="688" ht="14.25" customHeight="1" s="108"/>
    <row r="689" ht="14.25" customHeight="1" s="108"/>
    <row r="690" ht="14.25" customHeight="1" s="108"/>
    <row r="691" ht="14.25" customHeight="1" s="108"/>
    <row r="692" ht="14.25" customHeight="1" s="108"/>
    <row r="693" ht="14.25" customHeight="1" s="108"/>
    <row r="694" ht="14.25" customHeight="1" s="108"/>
    <row r="695" ht="14.25" customHeight="1" s="108"/>
    <row r="696" ht="14.25" customHeight="1" s="108"/>
    <row r="697" ht="14.25" customHeight="1" s="108"/>
    <row r="698" ht="14.25" customHeight="1" s="108"/>
    <row r="699" ht="14.25" customHeight="1" s="108"/>
    <row r="700" ht="14.25" customHeight="1" s="108"/>
    <row r="701" ht="14.25" customHeight="1" s="108"/>
    <row r="702" ht="14.25" customHeight="1" s="108"/>
    <row r="703" ht="14.25" customHeight="1" s="108"/>
    <row r="704" ht="14.25" customHeight="1" s="108"/>
    <row r="705" ht="14.25" customHeight="1" s="108"/>
    <row r="706" ht="14.25" customHeight="1" s="108"/>
    <row r="707" ht="14.25" customHeight="1" s="108"/>
    <row r="708" ht="14.25" customHeight="1" s="108"/>
    <row r="709" ht="14.25" customHeight="1" s="108"/>
    <row r="710" ht="14.25" customHeight="1" s="108"/>
    <row r="711" ht="14.25" customHeight="1" s="108"/>
    <row r="712" ht="14.25" customHeight="1" s="108"/>
    <row r="713" ht="14.25" customHeight="1" s="108"/>
    <row r="714" ht="14.25" customHeight="1" s="108"/>
    <row r="715" ht="14.25" customHeight="1" s="108"/>
    <row r="716" ht="14.25" customHeight="1" s="108"/>
    <row r="717" ht="14.25" customHeight="1" s="108"/>
    <row r="718" ht="14.25" customHeight="1" s="108"/>
    <row r="719" ht="14.25" customHeight="1" s="108"/>
    <row r="720" ht="14.25" customHeight="1" s="108"/>
    <row r="721" ht="14.25" customHeight="1" s="108"/>
    <row r="722" ht="14.25" customHeight="1" s="108"/>
    <row r="723" ht="14.25" customHeight="1" s="108"/>
    <row r="724" ht="14.25" customHeight="1" s="108"/>
    <row r="725" ht="14.25" customHeight="1" s="108"/>
    <row r="726" ht="14.25" customHeight="1" s="108"/>
    <row r="727" ht="14.25" customHeight="1" s="108"/>
    <row r="728" ht="14.25" customHeight="1" s="108"/>
    <row r="729" ht="14.25" customHeight="1" s="108"/>
    <row r="730" ht="14.25" customHeight="1" s="108"/>
    <row r="731" ht="14.25" customHeight="1" s="108"/>
    <row r="732" ht="14.25" customHeight="1" s="108"/>
    <row r="733" ht="14.25" customHeight="1" s="108"/>
    <row r="734" ht="14.25" customHeight="1" s="108"/>
    <row r="735" ht="14.25" customHeight="1" s="108"/>
    <row r="736" ht="14.25" customHeight="1" s="108"/>
    <row r="737" ht="14.25" customHeight="1" s="108"/>
    <row r="738" ht="14.25" customHeight="1" s="108"/>
    <row r="739" ht="14.25" customHeight="1" s="108"/>
    <row r="740" ht="14.25" customHeight="1" s="108"/>
    <row r="741" ht="14.25" customHeight="1" s="108"/>
    <row r="742" ht="14.25" customHeight="1" s="108"/>
    <row r="743" ht="14.25" customHeight="1" s="108"/>
    <row r="744" ht="14.25" customHeight="1" s="108"/>
    <row r="745" ht="14.25" customHeight="1" s="108"/>
    <row r="746" ht="14.25" customHeight="1" s="108"/>
    <row r="747" ht="14.25" customHeight="1" s="108"/>
    <row r="748" ht="14.25" customHeight="1" s="108"/>
    <row r="749" ht="14.25" customHeight="1" s="108"/>
    <row r="750" ht="14.25" customHeight="1" s="108"/>
    <row r="751" ht="14.25" customHeight="1" s="108"/>
    <row r="752" ht="14.25" customHeight="1" s="108"/>
    <row r="753" ht="14.25" customHeight="1" s="108"/>
    <row r="754" ht="14.25" customHeight="1" s="108"/>
    <row r="755" ht="14.25" customHeight="1" s="108"/>
    <row r="756" ht="14.25" customHeight="1" s="108"/>
    <row r="757" ht="14.25" customHeight="1" s="108"/>
    <row r="758" ht="14.25" customHeight="1" s="108"/>
    <row r="759" ht="14.25" customHeight="1" s="108"/>
    <row r="760" ht="14.25" customHeight="1" s="108"/>
    <row r="761" ht="14.25" customHeight="1" s="108"/>
    <row r="762" ht="14.25" customHeight="1" s="108"/>
    <row r="763" ht="14.25" customHeight="1" s="108"/>
    <row r="764" ht="14.25" customHeight="1" s="108"/>
    <row r="765" ht="14.25" customHeight="1" s="108"/>
    <row r="766" ht="14.25" customHeight="1" s="108"/>
    <row r="767" ht="14.25" customHeight="1" s="108"/>
    <row r="768" ht="14.25" customHeight="1" s="108"/>
    <row r="769" ht="14.25" customHeight="1" s="108"/>
    <row r="770" ht="14.25" customHeight="1" s="108"/>
    <row r="771" ht="14.25" customHeight="1" s="108"/>
    <row r="772" ht="14.25" customHeight="1" s="108"/>
    <row r="773" ht="14.25" customHeight="1" s="108"/>
    <row r="774" ht="14.25" customHeight="1" s="108"/>
    <row r="775" ht="14.25" customHeight="1" s="108"/>
    <row r="776" ht="14.25" customHeight="1" s="108"/>
    <row r="777" ht="14.25" customHeight="1" s="108"/>
    <row r="778" ht="14.25" customHeight="1" s="108"/>
    <row r="779" ht="14.25" customHeight="1" s="108"/>
    <row r="780" ht="14.25" customHeight="1" s="108"/>
    <row r="781" ht="14.25" customHeight="1" s="108"/>
    <row r="782" ht="14.25" customHeight="1" s="108"/>
    <row r="783" ht="14.25" customHeight="1" s="108"/>
    <row r="784" ht="14.25" customHeight="1" s="108"/>
    <row r="785" ht="14.25" customHeight="1" s="108"/>
    <row r="786" ht="14.25" customHeight="1" s="108"/>
    <row r="787" ht="14.25" customHeight="1" s="108"/>
    <row r="788" ht="14.25" customHeight="1" s="108"/>
    <row r="789" ht="14.25" customHeight="1" s="108"/>
    <row r="790" ht="14.25" customHeight="1" s="108"/>
    <row r="791" ht="14.25" customHeight="1" s="108"/>
    <row r="792" ht="14.25" customHeight="1" s="108"/>
    <row r="793" ht="14.25" customHeight="1" s="108"/>
    <row r="794" ht="14.25" customHeight="1" s="108"/>
    <row r="795" ht="14.25" customHeight="1" s="108"/>
    <row r="796" ht="14.25" customHeight="1" s="108"/>
    <row r="797" ht="14.25" customHeight="1" s="108"/>
    <row r="798" ht="14.25" customHeight="1" s="108"/>
    <row r="799" ht="14.25" customHeight="1" s="108"/>
    <row r="800" ht="14.25" customHeight="1" s="108"/>
    <row r="801" ht="14.25" customHeight="1" s="108"/>
    <row r="802" ht="14.25" customHeight="1" s="108"/>
    <row r="803" ht="14.25" customHeight="1" s="108"/>
    <row r="804" ht="14.25" customHeight="1" s="108"/>
    <row r="805" ht="14.25" customHeight="1" s="108"/>
    <row r="806" ht="14.25" customHeight="1" s="108"/>
    <row r="807" ht="14.25" customHeight="1" s="108"/>
    <row r="808" ht="14.25" customHeight="1" s="108"/>
    <row r="809" ht="14.25" customHeight="1" s="108"/>
    <row r="810" ht="14.25" customHeight="1" s="108"/>
    <row r="811" ht="14.25" customHeight="1" s="108"/>
    <row r="812" ht="14.25" customHeight="1" s="108"/>
    <row r="813" ht="14.25" customHeight="1" s="108"/>
    <row r="814" ht="14.25" customHeight="1" s="108"/>
    <row r="815" ht="14.25" customHeight="1" s="108"/>
    <row r="816" ht="14.25" customHeight="1" s="108"/>
    <row r="817" ht="14.25" customHeight="1" s="108"/>
    <row r="818" ht="14.25" customHeight="1" s="108"/>
    <row r="819" ht="14.25" customHeight="1" s="108"/>
    <row r="820" ht="14.25" customHeight="1" s="108"/>
    <row r="821" ht="14.25" customHeight="1" s="108"/>
    <row r="822" ht="14.25" customHeight="1" s="108"/>
    <row r="823" ht="14.25" customHeight="1" s="108"/>
    <row r="824" ht="14.25" customHeight="1" s="108"/>
    <row r="825" ht="14.25" customHeight="1" s="108"/>
    <row r="826" ht="14.25" customHeight="1" s="108"/>
    <row r="827" ht="14.25" customHeight="1" s="108"/>
    <row r="828" ht="14.25" customHeight="1" s="108"/>
    <row r="829" ht="14.25" customHeight="1" s="108"/>
    <row r="830" ht="14.25" customHeight="1" s="108"/>
    <row r="831" ht="14.25" customHeight="1" s="108"/>
    <row r="832" ht="14.25" customHeight="1" s="108"/>
    <row r="833" ht="14.25" customHeight="1" s="108"/>
    <row r="834" ht="14.25" customHeight="1" s="108"/>
    <row r="835" ht="14.25" customHeight="1" s="108"/>
    <row r="836" ht="14.25" customHeight="1" s="108"/>
    <row r="837" ht="14.25" customHeight="1" s="108"/>
    <row r="838" ht="14.25" customHeight="1" s="108"/>
    <row r="839" ht="14.25" customHeight="1" s="108"/>
    <row r="840" ht="14.25" customHeight="1" s="108"/>
    <row r="841" ht="14.25" customHeight="1" s="108"/>
    <row r="842" ht="14.25" customHeight="1" s="108"/>
    <row r="843" ht="14.25" customHeight="1" s="108"/>
    <row r="844" ht="14.25" customHeight="1" s="108"/>
    <row r="845" ht="14.25" customHeight="1" s="108"/>
    <row r="846" ht="14.25" customHeight="1" s="108"/>
    <row r="847" ht="14.25" customHeight="1" s="108"/>
    <row r="848" ht="14.25" customHeight="1" s="108"/>
    <row r="849" ht="14.25" customHeight="1" s="108"/>
    <row r="850" ht="14.25" customHeight="1" s="108"/>
    <row r="851" ht="14.25" customHeight="1" s="108"/>
    <row r="852" ht="14.25" customHeight="1" s="108"/>
    <row r="853" ht="14.25" customHeight="1" s="108"/>
    <row r="854" ht="14.25" customHeight="1" s="108"/>
    <row r="855" ht="14.25" customHeight="1" s="108"/>
    <row r="856" ht="14.25" customHeight="1" s="108"/>
    <row r="857" ht="14.25" customHeight="1" s="108"/>
    <row r="858" ht="14.25" customHeight="1" s="108"/>
    <row r="859" ht="14.25" customHeight="1" s="108"/>
    <row r="860" ht="14.25" customHeight="1" s="108"/>
    <row r="861" ht="14.25" customHeight="1" s="108"/>
    <row r="862" ht="14.25" customHeight="1" s="108"/>
    <row r="863" ht="14.25" customHeight="1" s="108"/>
    <row r="864" ht="14.25" customHeight="1" s="108"/>
    <row r="865" ht="14.25" customHeight="1" s="108"/>
    <row r="866" ht="14.25" customHeight="1" s="108"/>
    <row r="867" ht="14.25" customHeight="1" s="108"/>
    <row r="868" ht="14.25" customHeight="1" s="108"/>
    <row r="869" ht="14.25" customHeight="1" s="108"/>
    <row r="870" ht="14.25" customHeight="1" s="108"/>
    <row r="871" ht="14.25" customHeight="1" s="108"/>
    <row r="872" ht="14.25" customHeight="1" s="108"/>
    <row r="873" ht="14.25" customHeight="1" s="108"/>
    <row r="874" ht="14.25" customHeight="1" s="108"/>
    <row r="875" ht="14.25" customHeight="1" s="108"/>
    <row r="876" ht="14.25" customHeight="1" s="108"/>
    <row r="877" ht="14.25" customHeight="1" s="108"/>
    <row r="878" ht="14.25" customHeight="1" s="108"/>
    <row r="879" ht="14.25" customHeight="1" s="108"/>
    <row r="880" ht="14.25" customHeight="1" s="108"/>
    <row r="881" ht="14.25" customHeight="1" s="108"/>
    <row r="882" ht="14.25" customHeight="1" s="108"/>
    <row r="883" ht="14.25" customHeight="1" s="108"/>
    <row r="884" ht="14.25" customHeight="1" s="108"/>
    <row r="885" ht="14.25" customHeight="1" s="108"/>
    <row r="886" ht="14.25" customHeight="1" s="108"/>
    <row r="887" ht="14.25" customHeight="1" s="108"/>
    <row r="888" ht="14.25" customHeight="1" s="108"/>
    <row r="889" ht="14.25" customHeight="1" s="108"/>
    <row r="890" ht="14.25" customHeight="1" s="108"/>
    <row r="891" ht="14.25" customHeight="1" s="108"/>
    <row r="892" ht="14.25" customHeight="1" s="108"/>
    <row r="893" ht="14.25" customHeight="1" s="108"/>
    <row r="894" ht="14.25" customHeight="1" s="108"/>
    <row r="895" ht="14.25" customHeight="1" s="108"/>
    <row r="896" ht="14.25" customHeight="1" s="108"/>
    <row r="897" ht="14.25" customHeight="1" s="108"/>
    <row r="898" ht="14.25" customHeight="1" s="108"/>
    <row r="899" ht="14.25" customHeight="1" s="108"/>
    <row r="900" ht="14.25" customHeight="1" s="108"/>
    <row r="901" ht="14.25" customHeight="1" s="108"/>
    <row r="902" ht="14.25" customHeight="1" s="108"/>
    <row r="903" ht="14.25" customHeight="1" s="108"/>
    <row r="904" ht="14.25" customHeight="1" s="108"/>
    <row r="905" ht="14.25" customHeight="1" s="108"/>
    <row r="906" ht="14.25" customHeight="1" s="108"/>
    <row r="907" ht="14.25" customHeight="1" s="108"/>
    <row r="908" ht="14.25" customHeight="1" s="108"/>
    <row r="909" ht="14.25" customHeight="1" s="108"/>
    <row r="910" ht="14.25" customHeight="1" s="108"/>
    <row r="911" ht="14.25" customHeight="1" s="108"/>
    <row r="912" ht="14.25" customHeight="1" s="108"/>
    <row r="913" ht="14.25" customHeight="1" s="108"/>
    <row r="914" ht="14.25" customHeight="1" s="108"/>
    <row r="915" ht="14.25" customHeight="1" s="108"/>
    <row r="916" ht="14.25" customHeight="1" s="108"/>
    <row r="917" ht="14.25" customHeight="1" s="108"/>
    <row r="918" ht="14.25" customHeight="1" s="108"/>
    <row r="919" ht="14.25" customHeight="1" s="108"/>
    <row r="920" ht="14.25" customHeight="1" s="108"/>
    <row r="921" ht="14.25" customHeight="1" s="108"/>
    <row r="922" ht="14.25" customHeight="1" s="108"/>
    <row r="923" ht="14.25" customHeight="1" s="108"/>
    <row r="924" ht="14.25" customHeight="1" s="108"/>
    <row r="925" ht="14.25" customHeight="1" s="108"/>
    <row r="926" ht="14.25" customHeight="1" s="108"/>
    <row r="927" ht="14.25" customHeight="1" s="108"/>
    <row r="928" ht="14.25" customHeight="1" s="108"/>
    <row r="929" ht="14.25" customHeight="1" s="108"/>
    <row r="930" ht="14.25" customHeight="1" s="108"/>
    <row r="931" ht="14.25" customHeight="1" s="108"/>
    <row r="932" ht="14.25" customHeight="1" s="108"/>
    <row r="933" ht="14.25" customHeight="1" s="108"/>
    <row r="934" ht="14.25" customHeight="1" s="108"/>
    <row r="935" ht="14.25" customHeight="1" s="108"/>
    <row r="936" ht="14.25" customHeight="1" s="108"/>
    <row r="937" ht="14.25" customHeight="1" s="108"/>
    <row r="938" ht="14.25" customHeight="1" s="108"/>
    <row r="939" ht="14.25" customHeight="1" s="108"/>
    <row r="940" ht="14.25" customHeight="1" s="108"/>
    <row r="941" ht="14.25" customHeight="1" s="108"/>
    <row r="942" ht="14.25" customHeight="1" s="108"/>
    <row r="943" ht="14.25" customHeight="1" s="108"/>
    <row r="944" ht="14.25" customHeight="1" s="108"/>
    <row r="945" ht="14.25" customHeight="1" s="108"/>
    <row r="946" ht="14.25" customHeight="1" s="108"/>
    <row r="947" ht="14.25" customHeight="1" s="108"/>
    <row r="948" ht="14.25" customHeight="1" s="108"/>
    <row r="949" ht="14.25" customHeight="1" s="108"/>
    <row r="950" ht="14.25" customHeight="1" s="108"/>
    <row r="951" ht="14.25" customHeight="1" s="108"/>
    <row r="952" ht="14.25" customHeight="1" s="108"/>
    <row r="953" ht="14.25" customHeight="1" s="108"/>
    <row r="954" ht="14.25" customHeight="1" s="108"/>
    <row r="955" ht="14.25" customHeight="1" s="108"/>
    <row r="956" ht="14.25" customHeight="1" s="108"/>
    <row r="957" ht="14.25" customHeight="1" s="108"/>
    <row r="958" ht="14.25" customHeight="1" s="108"/>
    <row r="959" ht="14.25" customHeight="1" s="108"/>
    <row r="960" ht="14.25" customHeight="1" s="108"/>
    <row r="961" ht="14.25" customHeight="1" s="108"/>
    <row r="962" ht="14.25" customHeight="1" s="108"/>
    <row r="963" ht="14.25" customHeight="1" s="108"/>
    <row r="964" ht="14.25" customHeight="1" s="108"/>
    <row r="965" ht="14.25" customHeight="1" s="108"/>
    <row r="966" ht="14.25" customHeight="1" s="108"/>
    <row r="967" ht="14.25" customHeight="1" s="108"/>
    <row r="968" ht="14.25" customHeight="1" s="108"/>
    <row r="969" ht="14.25" customHeight="1" s="108"/>
    <row r="970" ht="14.25" customHeight="1" s="108"/>
    <row r="971" ht="14.25" customHeight="1" s="108"/>
    <row r="972" ht="14.25" customHeight="1" s="108"/>
    <row r="973" ht="14.25" customHeight="1" s="108"/>
    <row r="974" ht="14.25" customHeight="1" s="108"/>
    <row r="975" ht="14.25" customHeight="1" s="108"/>
    <row r="976" ht="14.25" customHeight="1" s="108"/>
    <row r="977" ht="14.25" customHeight="1" s="108"/>
    <row r="978" ht="14.25" customHeight="1" s="108"/>
    <row r="979" ht="14.25" customHeight="1" s="108"/>
    <row r="980" ht="14.25" customHeight="1" s="108"/>
    <row r="981" ht="14.25" customHeight="1" s="108"/>
    <row r="982" ht="14.25" customHeight="1" s="108"/>
    <row r="983" ht="14.25" customHeight="1" s="108"/>
    <row r="984" ht="14.25" customHeight="1" s="108"/>
    <row r="985" ht="14.25" customHeight="1" s="108"/>
    <row r="986" ht="14.25" customHeight="1" s="108"/>
    <row r="987" ht="14.25" customHeight="1" s="108"/>
    <row r="988" ht="14.25" customHeight="1" s="108"/>
    <row r="989" ht="14.25" customHeight="1" s="108"/>
    <row r="990" ht="14.25" customHeight="1" s="108"/>
    <row r="991" ht="14.25" customHeight="1" s="108"/>
    <row r="992" ht="14.25" customHeight="1" s="108"/>
    <row r="993" ht="14.25" customHeight="1" s="108"/>
    <row r="994" ht="14.25" customHeight="1" s="108"/>
    <row r="995" ht="14.25" customHeight="1" s="108"/>
    <row r="996" ht="14.25" customHeight="1" s="108"/>
    <row r="997" ht="14.25" customHeight="1" s="108"/>
    <row r="998" ht="14.25" customHeight="1" s="108"/>
    <row r="999" ht="14.25" customHeight="1" s="108"/>
    <row r="1000" ht="14.25" customHeight="1" s="108"/>
  </sheetData>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71"/>
  <sheetViews>
    <sheetView workbookViewId="0">
      <pane ySplit="1" topLeftCell="A2" activePane="bottomLeft" state="frozen"/>
      <selection pane="bottomLeft" activeCell="B3" sqref="B3"/>
    </sheetView>
  </sheetViews>
  <sheetFormatPr baseColWidth="8" defaultColWidth="14.43" defaultRowHeight="15.75" customHeight="1"/>
  <cols>
    <col width="8" customWidth="1" style="108" min="1" max="1"/>
    <col width="28" customWidth="1" style="108" min="2" max="2"/>
    <col width="34" customWidth="1" style="108" min="3" max="4"/>
    <col width="18" customWidth="1" style="108" min="5" max="6"/>
    <col width="44" customWidth="1" style="108" min="7" max="7"/>
    <col width="14" customWidth="1" style="108" min="8" max="9"/>
    <col width="18" customWidth="1" style="108" min="10" max="12"/>
    <col width="8.710000000000001" customWidth="1" style="108" min="13" max="26"/>
  </cols>
  <sheetData>
    <row r="1" ht="27.75" customHeight="1" s="108">
      <c r="A1" s="79" t="inlineStr">
        <is>
          <t>Seat #</t>
        </is>
      </c>
      <c r="B1" s="79" t="inlineStr">
        <is>
          <t>Category</t>
        </is>
      </c>
      <c r="C1" s="79" t="inlineStr">
        <is>
          <t>Full Name</t>
        </is>
      </c>
      <c r="D1" s="79" t="inlineStr">
        <is>
          <t>Email Address</t>
        </is>
      </c>
      <c r="E1" s="79" t="inlineStr">
        <is>
          <t>WhatsApp Number</t>
        </is>
      </c>
      <c r="F1" s="79" t="inlineStr">
        <is>
          <t>NIC Number</t>
        </is>
      </c>
      <c r="G1" s="79" t="inlineStr">
        <is>
          <t>Degree Program</t>
        </is>
      </c>
      <c r="H1" s="79" t="inlineStr">
        <is>
          <t>Year of Study</t>
        </is>
      </c>
      <c r="I1" s="79" t="inlineStr">
        <is>
          <t>IEEE Member</t>
        </is>
      </c>
      <c r="J1" s="79" t="inlineStr">
        <is>
          <t>Dietary Preference</t>
        </is>
      </c>
      <c r="K1" s="79" t="inlineStr">
        <is>
          <t>Ticket Code</t>
        </is>
      </c>
      <c r="L1" s="79" t="inlineStr">
        <is>
          <t>Check-in (Sign)</t>
        </is>
      </c>
      <c r="M1" s="79" t="n"/>
      <c r="N1" s="79" t="n"/>
      <c r="O1" s="79" t="n"/>
      <c r="P1" s="79" t="n"/>
      <c r="Q1" s="79" t="n"/>
      <c r="R1" s="79" t="n"/>
      <c r="S1" s="79" t="n"/>
      <c r="T1" s="79" t="n"/>
      <c r="U1" s="79" t="n"/>
      <c r="V1" s="79" t="n"/>
      <c r="W1" s="79" t="n"/>
      <c r="X1" s="79" t="n"/>
      <c r="Y1" s="79" t="n"/>
      <c r="Z1" s="79" t="n"/>
    </row>
    <row r="2" ht="21.75" customHeight="1" s="108">
      <c r="A2" s="80" t="n">
        <v>66</v>
      </c>
      <c r="B2" s="81" t="inlineStr">
        <is>
          <t>Reserved for CS ExCom</t>
        </is>
      </c>
      <c r="C2" s="80" t="inlineStr">
        <is>
          <t>[IEEE CS EXCOM SEAT #1]</t>
        </is>
      </c>
      <c r="D2" s="80" t="inlineStr">
        <is>
          <t>ieee.cs@sliit.lk</t>
        </is>
      </c>
      <c r="E2" s="80" t="inlineStr">
        <is>
          <t>-</t>
        </is>
      </c>
      <c r="F2" s="80" t="inlineStr">
        <is>
          <t>-</t>
        </is>
      </c>
      <c r="G2" s="80" t="inlineStr">
        <is>
          <t>IEEE Computer Society SLIIT Chapter Executive Committee</t>
        </is>
      </c>
      <c r="H2" s="80" t="inlineStr">
        <is>
          <t>ExCom</t>
        </is>
      </c>
      <c r="I2" s="80" t="inlineStr">
        <is>
          <t>CS ExCom</t>
        </is>
      </c>
      <c r="J2" s="80" t="inlineStr">
        <is>
          <t>Standard</t>
        </is>
      </c>
      <c r="K2" s="80" t="inlineStr">
        <is>
          <t>LOOP-IFS-EXCOM-1</t>
        </is>
      </c>
      <c r="L2" s="80" t="inlineStr"/>
      <c r="M2" s="82" t="n"/>
      <c r="N2" s="82" t="n"/>
      <c r="O2" s="82" t="n"/>
      <c r="P2" s="82" t="n"/>
      <c r="Q2" s="82" t="n"/>
      <c r="R2" s="82" t="n"/>
      <c r="S2" s="82" t="n"/>
      <c r="T2" s="82" t="n"/>
      <c r="U2" s="82" t="n"/>
      <c r="V2" s="82" t="n"/>
      <c r="W2" s="82" t="n"/>
      <c r="X2" s="82" t="n"/>
      <c r="Y2" s="82" t="n"/>
      <c r="Z2" s="82" t="n"/>
    </row>
    <row r="3" ht="21.75" customHeight="1" s="108">
      <c r="A3" s="80" t="n">
        <v>67</v>
      </c>
      <c r="B3" s="81" t="inlineStr">
        <is>
          <t>Reserved for CS ExCom</t>
        </is>
      </c>
      <c r="C3" s="80" t="inlineStr">
        <is>
          <t>[IEEE CS EXCOM SEAT #2]</t>
        </is>
      </c>
      <c r="D3" s="80" t="inlineStr">
        <is>
          <t>ieee.cs@sliit.lk</t>
        </is>
      </c>
      <c r="E3" s="80" t="inlineStr">
        <is>
          <t>-</t>
        </is>
      </c>
      <c r="F3" s="80" t="inlineStr">
        <is>
          <t>-</t>
        </is>
      </c>
      <c r="G3" s="80" t="inlineStr">
        <is>
          <t>IEEE Computer Society SLIIT Chapter Executive Committee</t>
        </is>
      </c>
      <c r="H3" s="80" t="inlineStr">
        <is>
          <t>ExCom</t>
        </is>
      </c>
      <c r="I3" s="80" t="inlineStr">
        <is>
          <t>CS ExCom</t>
        </is>
      </c>
      <c r="J3" s="80" t="inlineStr">
        <is>
          <t>Standard</t>
        </is>
      </c>
      <c r="K3" s="80" t="inlineStr">
        <is>
          <t>LOOP-IFS-EXCOM-2</t>
        </is>
      </c>
      <c r="L3" s="80" t="inlineStr"/>
      <c r="M3" s="82" t="n"/>
      <c r="N3" s="82" t="n"/>
      <c r="O3" s="82" t="n"/>
      <c r="P3" s="82" t="n"/>
      <c r="Q3" s="82" t="n"/>
      <c r="R3" s="82" t="n"/>
      <c r="S3" s="82" t="n"/>
      <c r="T3" s="82" t="n"/>
      <c r="U3" s="82" t="n"/>
      <c r="V3" s="82" t="n"/>
      <c r="W3" s="82" t="n"/>
      <c r="X3" s="82" t="n"/>
      <c r="Y3" s="82" t="n"/>
      <c r="Z3" s="82" t="n"/>
    </row>
    <row r="4" ht="21.75" customHeight="1" s="108">
      <c r="A4" s="80" t="n">
        <v>68</v>
      </c>
      <c r="B4" s="81" t="inlineStr">
        <is>
          <t>Reserved for CS ExCom</t>
        </is>
      </c>
      <c r="C4" s="80" t="inlineStr">
        <is>
          <t>[IEEE CS EXCOM SEAT #3]</t>
        </is>
      </c>
      <c r="D4" s="80" t="inlineStr">
        <is>
          <t>ieee.cs@sliit.lk</t>
        </is>
      </c>
      <c r="E4" s="80" t="inlineStr">
        <is>
          <t>-</t>
        </is>
      </c>
      <c r="F4" s="80" t="inlineStr">
        <is>
          <t>-</t>
        </is>
      </c>
      <c r="G4" s="80" t="inlineStr">
        <is>
          <t>IEEE Computer Society SLIIT Chapter Executive Committee</t>
        </is>
      </c>
      <c r="H4" s="80" t="inlineStr">
        <is>
          <t>ExCom</t>
        </is>
      </c>
      <c r="I4" s="80" t="inlineStr">
        <is>
          <t>CS ExCom</t>
        </is>
      </c>
      <c r="J4" s="80" t="inlineStr">
        <is>
          <t>Standard</t>
        </is>
      </c>
      <c r="K4" s="80" t="inlineStr">
        <is>
          <t>LOOP-IFS-EXCOM-3</t>
        </is>
      </c>
      <c r="L4" s="80" t="inlineStr"/>
      <c r="M4" s="82" t="n"/>
      <c r="N4" s="82" t="n"/>
      <c r="O4" s="82" t="n"/>
      <c r="P4" s="82" t="n"/>
      <c r="Q4" s="82" t="n"/>
      <c r="R4" s="82" t="n"/>
      <c r="S4" s="82" t="n"/>
      <c r="T4" s="82" t="n"/>
      <c r="U4" s="82" t="n"/>
      <c r="V4" s="82" t="n"/>
      <c r="W4" s="82" t="n"/>
      <c r="X4" s="82" t="n"/>
      <c r="Y4" s="82" t="n"/>
      <c r="Z4" s="82" t="n"/>
    </row>
    <row r="5" ht="21.75" customHeight="1" s="108">
      <c r="A5" s="83" t="n">
        <v>24</v>
      </c>
      <c r="B5" s="84" t="inlineStr">
        <is>
          <t>Undergraduate Applicant</t>
        </is>
      </c>
      <c r="C5" s="83" t="inlineStr">
        <is>
          <t>Rumesha Nisadi</t>
        </is>
      </c>
      <c r="D5" s="83" t="inlineStr">
        <is>
          <t>rumeshanisadi3002@gmail.com</t>
        </is>
      </c>
      <c r="E5" s="83" t="inlineStr">
        <is>
          <t>0776040512</t>
        </is>
      </c>
      <c r="F5" s="83" t="inlineStr">
        <is>
          <t>200379912214</t>
        </is>
      </c>
      <c r="G5" s="83" t="inlineStr">
        <is>
          <t>BSc (Hons) in Information Technology - Computer Systems &amp; Network Engineering</t>
        </is>
      </c>
      <c r="H5" s="83" t="inlineStr">
        <is>
          <t>3rd Year</t>
        </is>
      </c>
      <c r="I5" s="83" t="inlineStr">
        <is>
          <t>No</t>
        </is>
      </c>
      <c r="J5" s="83" t="inlineStr">
        <is>
          <t>Non-Veg</t>
        </is>
      </c>
      <c r="K5" s="83" t="inlineStr">
        <is>
          <t>LOOP-IFS--6750</t>
        </is>
      </c>
      <c r="L5" s="83" t="inlineStr"/>
      <c r="M5" s="85" t="n"/>
      <c r="N5" s="85" t="n"/>
      <c r="O5" s="85" t="n"/>
      <c r="P5" s="85" t="n"/>
      <c r="Q5" s="85" t="n"/>
      <c r="R5" s="85" t="n"/>
      <c r="S5" s="85" t="n"/>
      <c r="T5" s="85" t="n"/>
      <c r="U5" s="85" t="n"/>
      <c r="V5" s="85" t="n"/>
      <c r="W5" s="85" t="n"/>
      <c r="X5" s="85" t="n"/>
      <c r="Y5" s="85" t="n"/>
      <c r="Z5" s="85" t="n"/>
    </row>
    <row r="6" ht="21.75" customHeight="1" s="108">
      <c r="A6" s="83" t="n">
        <v>28</v>
      </c>
      <c r="B6" s="84" t="inlineStr">
        <is>
          <t>Undergraduate Applicant</t>
        </is>
      </c>
      <c r="C6" s="83" t="inlineStr">
        <is>
          <t>K.G.N.D.Siriwardhana</t>
        </is>
      </c>
      <c r="D6" s="83" t="inlineStr">
        <is>
          <t>nipunisiriwardhana163@gmail.com</t>
        </is>
      </c>
      <c r="E6" s="83" t="inlineStr">
        <is>
          <t>0714514446</t>
        </is>
      </c>
      <c r="F6" s="83" t="inlineStr">
        <is>
          <t>200363700136</t>
        </is>
      </c>
      <c r="G6" s="83" t="inlineStr">
        <is>
          <t>BSc (Hons) in Software Engineering</t>
        </is>
      </c>
      <c r="H6" s="83" t="inlineStr">
        <is>
          <t>2nd Year</t>
        </is>
      </c>
      <c r="I6" s="83" t="inlineStr">
        <is>
          <t>No</t>
        </is>
      </c>
      <c r="J6" s="83" t="inlineStr">
        <is>
          <t>Non-Veg</t>
        </is>
      </c>
      <c r="K6" s="83" t="inlineStr">
        <is>
          <t>LOOP-IFS--7D27</t>
        </is>
      </c>
      <c r="L6" s="83" t="inlineStr"/>
      <c r="M6" s="85" t="n"/>
      <c r="N6" s="85" t="n"/>
      <c r="O6" s="85" t="n"/>
      <c r="P6" s="85" t="n"/>
      <c r="Q6" s="85" t="n"/>
      <c r="R6" s="85" t="n"/>
      <c r="S6" s="85" t="n"/>
      <c r="T6" s="85" t="n"/>
      <c r="U6" s="85" t="n"/>
      <c r="V6" s="85" t="n"/>
      <c r="W6" s="85" t="n"/>
      <c r="X6" s="85" t="n"/>
      <c r="Y6" s="85" t="n"/>
      <c r="Z6" s="85" t="n"/>
    </row>
    <row r="7" ht="21.75" customHeight="1" s="108">
      <c r="A7" s="83" t="n">
        <v>29</v>
      </c>
      <c r="B7" s="84" t="inlineStr">
        <is>
          <t>Undergraduate Applicant</t>
        </is>
      </c>
      <c r="C7" s="83" t="inlineStr">
        <is>
          <t>Minadi Pathirana</t>
        </is>
      </c>
      <c r="D7" s="83" t="inlineStr">
        <is>
          <t>minadipathirana2003@gmail.com</t>
        </is>
      </c>
      <c r="E7" s="83" t="inlineStr">
        <is>
          <t>94776552986</t>
        </is>
      </c>
      <c r="F7" s="83" t="inlineStr">
        <is>
          <t>200368501142</t>
        </is>
      </c>
      <c r="G7" s="83" t="inlineStr">
        <is>
          <t>BSc (Hons) in Computer Science</t>
        </is>
      </c>
      <c r="H7" s="83" t="inlineStr">
        <is>
          <t>3rd Year</t>
        </is>
      </c>
      <c r="I7" s="83" t="inlineStr">
        <is>
          <t>No</t>
        </is>
      </c>
      <c r="J7" s="83" t="inlineStr">
        <is>
          <t>Non-Veg</t>
        </is>
      </c>
      <c r="K7" s="83" t="inlineStr">
        <is>
          <t>LOOP-IFS--5176</t>
        </is>
      </c>
      <c r="L7" s="83" t="inlineStr"/>
      <c r="M7" s="85" t="n"/>
      <c r="N7" s="85" t="n"/>
      <c r="O7" s="85" t="n"/>
      <c r="P7" s="85" t="n"/>
      <c r="Q7" s="85" t="n"/>
      <c r="R7" s="85" t="n"/>
      <c r="S7" s="85" t="n"/>
      <c r="T7" s="85" t="n"/>
      <c r="U7" s="85" t="n"/>
      <c r="V7" s="85" t="n"/>
      <c r="W7" s="85" t="n"/>
      <c r="X7" s="85" t="n"/>
      <c r="Y7" s="85" t="n"/>
      <c r="Z7" s="85" t="n"/>
    </row>
    <row r="8" ht="21.75" customHeight="1" s="108">
      <c r="A8" s="83" t="n">
        <v>30</v>
      </c>
      <c r="B8" s="84" t="inlineStr">
        <is>
          <t>Undergraduate Applicant</t>
        </is>
      </c>
      <c r="C8" s="83" t="inlineStr">
        <is>
          <t>Y.A. Hansika Dulanjani Wijesinghe</t>
        </is>
      </c>
      <c r="D8" s="83" t="inlineStr">
        <is>
          <t>hansikadulanjani223@gmail.com</t>
        </is>
      </c>
      <c r="E8" s="83" t="inlineStr">
        <is>
          <t>+94714735904</t>
        </is>
      </c>
      <c r="F8" s="83" t="inlineStr">
        <is>
          <t>200455410683</t>
        </is>
      </c>
      <c r="G8" s="83" t="inlineStr">
        <is>
          <t>BSc (Hons) in Information Technology - Data Science</t>
        </is>
      </c>
      <c r="H8" s="83" t="inlineStr">
        <is>
          <t>3rd Year</t>
        </is>
      </c>
      <c r="I8" s="83" t="inlineStr">
        <is>
          <t>No</t>
        </is>
      </c>
      <c r="J8" s="83" t="inlineStr">
        <is>
          <t>Non-Veg</t>
        </is>
      </c>
      <c r="K8" s="83" t="inlineStr">
        <is>
          <t>LOOP-IFS--2CB6</t>
        </is>
      </c>
      <c r="L8" s="83" t="inlineStr"/>
      <c r="M8" s="85" t="n"/>
      <c r="N8" s="85" t="n"/>
      <c r="O8" s="85" t="n"/>
      <c r="P8" s="85" t="n"/>
      <c r="Q8" s="85" t="n"/>
      <c r="R8" s="85" t="n"/>
      <c r="S8" s="85" t="n"/>
      <c r="T8" s="85" t="n"/>
      <c r="U8" s="85" t="n"/>
      <c r="V8" s="85" t="n"/>
      <c r="W8" s="85" t="n"/>
      <c r="X8" s="85" t="n"/>
      <c r="Y8" s="85" t="n"/>
      <c r="Z8" s="85" t="n"/>
    </row>
    <row r="9" ht="21.75" customHeight="1" s="108">
      <c r="A9" s="83" t="n">
        <v>31</v>
      </c>
      <c r="B9" s="86" t="inlineStr">
        <is>
          <t>CyberShield Volunteer</t>
        </is>
      </c>
      <c r="C9" s="83" t="inlineStr">
        <is>
          <t>Chanuka nuwan niroshana</t>
        </is>
      </c>
      <c r="D9" s="83" t="inlineStr">
        <is>
          <t>chanukaxnuwan@gmail.com</t>
        </is>
      </c>
      <c r="E9" s="83" t="inlineStr">
        <is>
          <t>0752212421</t>
        </is>
      </c>
      <c r="F9" s="83" t="inlineStr">
        <is>
          <t>200210903403</t>
        </is>
      </c>
      <c r="G9" s="83" t="inlineStr">
        <is>
          <t>BSc (Hons) in Information Technology - Cyber Security</t>
        </is>
      </c>
      <c r="H9" s="83" t="inlineStr">
        <is>
          <t>3rd Year</t>
        </is>
      </c>
      <c r="I9" s="83" t="inlineStr">
        <is>
          <t>No</t>
        </is>
      </c>
      <c r="J9" s="83" t="inlineStr">
        <is>
          <t>Non-Veg</t>
        </is>
      </c>
      <c r="K9" s="83" t="inlineStr">
        <is>
          <t>LOOP-IFS--C199</t>
        </is>
      </c>
      <c r="L9" s="83" t="inlineStr"/>
      <c r="M9" s="85" t="n"/>
      <c r="N9" s="85" t="n"/>
      <c r="O9" s="85" t="n"/>
      <c r="P9" s="85" t="n"/>
      <c r="Q9" s="85" t="n"/>
      <c r="R9" s="85" t="n"/>
      <c r="S9" s="85" t="n"/>
      <c r="T9" s="85" t="n"/>
      <c r="U9" s="85" t="n"/>
      <c r="V9" s="85" t="n"/>
      <c r="W9" s="85" t="n"/>
      <c r="X9" s="85" t="n"/>
      <c r="Y9" s="85" t="n"/>
      <c r="Z9" s="85" t="n"/>
    </row>
    <row r="10" ht="21.75" customHeight="1" s="108">
      <c r="A10" s="83" t="n">
        <v>32</v>
      </c>
      <c r="B10" s="86" t="inlineStr">
        <is>
          <t>CyberShield Volunteer</t>
        </is>
      </c>
      <c r="C10" s="83" t="inlineStr">
        <is>
          <t>Isira pabasara</t>
        </is>
      </c>
      <c r="D10" s="83" t="inlineStr">
        <is>
          <t>isirapabasara123@gmail.com</t>
        </is>
      </c>
      <c r="E10" s="83" t="inlineStr">
        <is>
          <t>+94755968340</t>
        </is>
      </c>
      <c r="F10" s="83" t="inlineStr">
        <is>
          <t>200702800820</t>
        </is>
      </c>
      <c r="G10" s="83" t="inlineStr">
        <is>
          <t>BSc (Hons) in Computer Science</t>
        </is>
      </c>
      <c r="H10" s="83" t="inlineStr">
        <is>
          <t>4th Year</t>
        </is>
      </c>
      <c r="I10" s="83" t="inlineStr">
        <is>
          <t>No</t>
        </is>
      </c>
      <c r="J10" s="83" t="inlineStr">
        <is>
          <t>Vegetarian</t>
        </is>
      </c>
      <c r="K10" s="83" t="inlineStr">
        <is>
          <t>LOOP-IFS--D303</t>
        </is>
      </c>
      <c r="L10" s="83" t="inlineStr"/>
      <c r="M10" s="85" t="n"/>
      <c r="N10" s="85" t="n"/>
      <c r="O10" s="85" t="n"/>
      <c r="P10" s="85" t="n"/>
      <c r="Q10" s="85" t="n"/>
      <c r="R10" s="85" t="n"/>
      <c r="S10" s="85" t="n"/>
      <c r="T10" s="85" t="n"/>
      <c r="U10" s="85" t="n"/>
      <c r="V10" s="85" t="n"/>
      <c r="W10" s="85" t="n"/>
      <c r="X10" s="85" t="n"/>
      <c r="Y10" s="85" t="n"/>
      <c r="Z10" s="85" t="n"/>
    </row>
    <row r="11" ht="21.75" customHeight="1" s="108">
      <c r="A11" s="83" t="n">
        <v>33</v>
      </c>
      <c r="B11" s="87" t="inlineStr">
        <is>
          <t>Open Source Contributor</t>
        </is>
      </c>
      <c r="C11" s="83" t="inlineStr">
        <is>
          <t>Tharupathi Pinsara</t>
        </is>
      </c>
      <c r="D11" s="83" t="inlineStr">
        <is>
          <t>tharupathipinsara@gmail.com</t>
        </is>
      </c>
      <c r="E11" s="83" t="inlineStr">
        <is>
          <t>+94778071774</t>
        </is>
      </c>
      <c r="F11" s="83" t="inlineStr">
        <is>
          <t>200423203778</t>
        </is>
      </c>
      <c r="G11" s="83" t="inlineStr">
        <is>
          <t>BSc (Hons) in Software Engineering</t>
        </is>
      </c>
      <c r="H11" s="83" t="inlineStr">
        <is>
          <t>3rd Year</t>
        </is>
      </c>
      <c r="I11" s="83" t="inlineStr">
        <is>
          <t>No</t>
        </is>
      </c>
      <c r="J11" s="83" t="inlineStr">
        <is>
          <t>Non-Veg</t>
        </is>
      </c>
      <c r="K11" s="83" t="inlineStr">
        <is>
          <t>LOOP-IFS--BD3F</t>
        </is>
      </c>
      <c r="L11" s="83" t="inlineStr"/>
      <c r="M11" s="85" t="n"/>
      <c r="N11" s="85" t="n"/>
      <c r="O11" s="85" t="n"/>
      <c r="P11" s="85" t="n"/>
      <c r="Q11" s="85" t="n"/>
      <c r="R11" s="85" t="n"/>
      <c r="S11" s="85" t="n"/>
      <c r="T11" s="85" t="n"/>
      <c r="U11" s="85" t="n"/>
      <c r="V11" s="85" t="n"/>
      <c r="W11" s="85" t="n"/>
      <c r="X11" s="85" t="n"/>
      <c r="Y11" s="85" t="n"/>
      <c r="Z11" s="85" t="n"/>
    </row>
    <row r="12" ht="21.75" customHeight="1" s="108">
      <c r="A12" s="83" t="n">
        <v>34</v>
      </c>
      <c r="B12" s="84" t="inlineStr">
        <is>
          <t>Undergraduate Applicant</t>
        </is>
      </c>
      <c r="C12" s="83" t="inlineStr">
        <is>
          <t>Supun Kalhara Jayasinghe</t>
        </is>
      </c>
      <c r="D12" s="83" t="inlineStr">
        <is>
          <t>contact@supunkalhara.com</t>
        </is>
      </c>
      <c r="E12" s="83" t="inlineStr">
        <is>
          <t>+94789620569</t>
        </is>
      </c>
      <c r="F12" s="83" t="inlineStr">
        <is>
          <t>200403110795</t>
        </is>
      </c>
      <c r="G12" s="83" t="inlineStr">
        <is>
          <t>BSc (Hons) in Information Technology - Information Technology</t>
        </is>
      </c>
      <c r="H12" s="83" t="inlineStr">
        <is>
          <t>3rd Year</t>
        </is>
      </c>
      <c r="I12" s="83" t="inlineStr">
        <is>
          <t>No</t>
        </is>
      </c>
      <c r="J12" s="83" t="inlineStr">
        <is>
          <t>Non-Veg</t>
        </is>
      </c>
      <c r="K12" s="83" t="inlineStr">
        <is>
          <t>LOOP-IFS--469C</t>
        </is>
      </c>
      <c r="L12" s="83" t="inlineStr"/>
      <c r="M12" s="85" t="n"/>
      <c r="N12" s="85" t="n"/>
      <c r="O12" s="85" t="n"/>
      <c r="P12" s="85" t="n"/>
      <c r="Q12" s="85" t="n"/>
      <c r="R12" s="85" t="n"/>
      <c r="S12" s="85" t="n"/>
      <c r="T12" s="85" t="n"/>
      <c r="U12" s="85" t="n"/>
      <c r="V12" s="85" t="n"/>
      <c r="W12" s="85" t="n"/>
      <c r="X12" s="85" t="n"/>
      <c r="Y12" s="85" t="n"/>
      <c r="Z12" s="85" t="n"/>
    </row>
    <row r="13" ht="21.75" customHeight="1" s="108">
      <c r="A13" s="83" t="n">
        <v>35</v>
      </c>
      <c r="B13" s="87" t="inlineStr">
        <is>
          <t>Open Source Contributor</t>
        </is>
      </c>
      <c r="C13" s="83" t="inlineStr">
        <is>
          <t>Yethmi Jayaratne</t>
        </is>
      </c>
      <c r="D13" s="83" t="inlineStr">
        <is>
          <t>yethmiijayaratne@gmail.com</t>
        </is>
      </c>
      <c r="E13" s="83" t="inlineStr">
        <is>
          <t>0711651586</t>
        </is>
      </c>
      <c r="F13" s="83" t="inlineStr">
        <is>
          <t>200454011829</t>
        </is>
      </c>
      <c r="G13" s="83" t="inlineStr">
        <is>
          <t>BSc (Hons) in Information Technology - Cyber Security</t>
        </is>
      </c>
      <c r="H13" s="83" t="inlineStr">
        <is>
          <t>3rd Year</t>
        </is>
      </c>
      <c r="I13" s="83" t="inlineStr">
        <is>
          <t>No</t>
        </is>
      </c>
      <c r="J13" s="83" t="inlineStr">
        <is>
          <t>Non-Veg</t>
        </is>
      </c>
      <c r="K13" s="83" t="inlineStr">
        <is>
          <t>LOOP-IFS--0D12</t>
        </is>
      </c>
      <c r="L13" s="83" t="inlineStr"/>
      <c r="M13" s="85" t="n"/>
      <c r="N13" s="85" t="n"/>
      <c r="O13" s="85" t="n"/>
      <c r="P13" s="85" t="n"/>
      <c r="Q13" s="85" t="n"/>
      <c r="R13" s="85" t="n"/>
      <c r="S13" s="85" t="n"/>
      <c r="T13" s="85" t="n"/>
      <c r="U13" s="85" t="n"/>
      <c r="V13" s="85" t="n"/>
      <c r="W13" s="85" t="n"/>
      <c r="X13" s="85" t="n"/>
      <c r="Y13" s="85" t="n"/>
      <c r="Z13" s="85" t="n"/>
    </row>
    <row r="14" ht="21.75" customHeight="1" s="108">
      <c r="A14" s="83" t="n">
        <v>36</v>
      </c>
      <c r="B14" s="84" t="inlineStr">
        <is>
          <t>Undergraduate Applicant</t>
        </is>
      </c>
      <c r="C14" s="83" t="inlineStr">
        <is>
          <t>Nivakaran Shanmugabavan</t>
        </is>
      </c>
      <c r="D14" s="83" t="inlineStr">
        <is>
          <t>nivakaran@hotmail.com</t>
        </is>
      </c>
      <c r="E14" s="83" t="inlineStr">
        <is>
          <t>94760015755</t>
        </is>
      </c>
      <c r="F14" s="83" t="inlineStr">
        <is>
          <t>200208902949</t>
        </is>
      </c>
      <c r="G14" s="83" t="inlineStr">
        <is>
          <t>BSc (Hons) in Software Engineering</t>
        </is>
      </c>
      <c r="H14" s="83" t="inlineStr">
        <is>
          <t>4th Year</t>
        </is>
      </c>
      <c r="I14" s="83" t="inlineStr">
        <is>
          <t>No</t>
        </is>
      </c>
      <c r="J14" s="83" t="inlineStr">
        <is>
          <t>Non-Veg</t>
        </is>
      </c>
      <c r="K14" s="83" t="inlineStr">
        <is>
          <t>LOOP-IFS--434E</t>
        </is>
      </c>
      <c r="L14" s="83" t="inlineStr"/>
      <c r="M14" s="85" t="n"/>
      <c r="N14" s="85" t="n"/>
      <c r="O14" s="85" t="n"/>
      <c r="P14" s="85" t="n"/>
      <c r="Q14" s="85" t="n"/>
      <c r="R14" s="85" t="n"/>
      <c r="S14" s="85" t="n"/>
      <c r="T14" s="85" t="n"/>
      <c r="U14" s="85" t="n"/>
      <c r="V14" s="85" t="n"/>
      <c r="W14" s="85" t="n"/>
      <c r="X14" s="85" t="n"/>
      <c r="Y14" s="85" t="n"/>
      <c r="Z14" s="85" t="n"/>
    </row>
    <row r="15" ht="21.75" customHeight="1" s="108">
      <c r="A15" s="83" t="n">
        <v>38</v>
      </c>
      <c r="B15" s="87" t="inlineStr">
        <is>
          <t>Open Source Contributor</t>
        </is>
      </c>
      <c r="C15" s="83" t="inlineStr">
        <is>
          <t>Vonara Athukorala</t>
        </is>
      </c>
      <c r="D15" s="83" t="inlineStr">
        <is>
          <t>vonaraathukorala04@gmail.com</t>
        </is>
      </c>
      <c r="E15" s="83" t="inlineStr">
        <is>
          <t>0757981554</t>
        </is>
      </c>
      <c r="F15" s="83" t="inlineStr">
        <is>
          <t>200464201766</t>
        </is>
      </c>
      <c r="G15" s="83" t="inlineStr">
        <is>
          <t>BSc (Hons) in Information Technology - Artificial Intelligence</t>
        </is>
      </c>
      <c r="H15" s="83" t="inlineStr">
        <is>
          <t>3rd Year</t>
        </is>
      </c>
      <c r="I15" s="83" t="inlineStr">
        <is>
          <t>No</t>
        </is>
      </c>
      <c r="J15" s="83" t="inlineStr">
        <is>
          <t>Non-Veg</t>
        </is>
      </c>
      <c r="K15" s="83" t="inlineStr">
        <is>
          <t>LOOP-IFS--D376</t>
        </is>
      </c>
      <c r="L15" s="83" t="inlineStr"/>
      <c r="M15" s="85" t="n"/>
      <c r="N15" s="85" t="n"/>
      <c r="O15" s="85" t="n"/>
      <c r="P15" s="85" t="n"/>
      <c r="Q15" s="85" t="n"/>
      <c r="R15" s="85" t="n"/>
      <c r="S15" s="85" t="n"/>
      <c r="T15" s="85" t="n"/>
      <c r="U15" s="85" t="n"/>
      <c r="V15" s="85" t="n"/>
      <c r="W15" s="85" t="n"/>
      <c r="X15" s="85" t="n"/>
      <c r="Y15" s="85" t="n"/>
      <c r="Z15" s="85" t="n"/>
    </row>
    <row r="16" ht="21.75" customHeight="1" s="108">
      <c r="A16" s="83" t="n">
        <v>39</v>
      </c>
      <c r="B16" s="84" t="inlineStr">
        <is>
          <t>Undergraduate Applicant</t>
        </is>
      </c>
      <c r="C16" s="83" t="inlineStr">
        <is>
          <t>amami gunathilake</t>
        </is>
      </c>
      <c r="D16" s="83" t="inlineStr">
        <is>
          <t>amamig.gunathilake@gmail.com</t>
        </is>
      </c>
      <c r="E16" s="83" t="inlineStr">
        <is>
          <t>+94 760711033</t>
        </is>
      </c>
      <c r="F16" s="83" t="inlineStr">
        <is>
          <t>200271601141</t>
        </is>
      </c>
      <c r="G16" s="83" t="inlineStr">
        <is>
          <t>BSc (Hons) in Information Technology - Data Science</t>
        </is>
      </c>
      <c r="H16" s="83" t="inlineStr">
        <is>
          <t>3rd Year</t>
        </is>
      </c>
      <c r="I16" s="83" t="inlineStr">
        <is>
          <t>No</t>
        </is>
      </c>
      <c r="J16" s="83" t="inlineStr">
        <is>
          <t>Non-Veg</t>
        </is>
      </c>
      <c r="K16" s="83" t="inlineStr">
        <is>
          <t>LOOP-IFS--3D69</t>
        </is>
      </c>
      <c r="L16" s="83" t="inlineStr"/>
      <c r="M16" s="85" t="n"/>
      <c r="N16" s="85" t="n"/>
      <c r="O16" s="85" t="n"/>
      <c r="P16" s="85" t="n"/>
      <c r="Q16" s="85" t="n"/>
      <c r="R16" s="85" t="n"/>
      <c r="S16" s="85" t="n"/>
      <c r="T16" s="85" t="n"/>
      <c r="U16" s="85" t="n"/>
      <c r="V16" s="85" t="n"/>
      <c r="W16" s="85" t="n"/>
      <c r="X16" s="85" t="n"/>
      <c r="Y16" s="85" t="n"/>
      <c r="Z16" s="85" t="n"/>
    </row>
    <row r="17" ht="21.75" customHeight="1" s="108">
      <c r="A17" s="83" t="n">
        <v>40</v>
      </c>
      <c r="B17" s="84" t="inlineStr">
        <is>
          <t>Undergraduate Applicant</t>
        </is>
      </c>
      <c r="C17" s="83" t="inlineStr">
        <is>
          <t>Roneth Bashana</t>
        </is>
      </c>
      <c r="D17" s="83" t="inlineStr">
        <is>
          <t>ronethbashana4@gmail.com</t>
        </is>
      </c>
      <c r="E17" s="83" t="inlineStr">
        <is>
          <t>0725044088</t>
        </is>
      </c>
      <c r="F17" s="83" t="inlineStr">
        <is>
          <t>200412501102</t>
        </is>
      </c>
      <c r="G17" s="83" t="inlineStr">
        <is>
          <t>BSc (Hons) in Information Technology - Cyber Security</t>
        </is>
      </c>
      <c r="H17" s="83" t="inlineStr">
        <is>
          <t>3rd Year</t>
        </is>
      </c>
      <c r="I17" s="83" t="inlineStr">
        <is>
          <t>No</t>
        </is>
      </c>
      <c r="J17" s="83" t="inlineStr">
        <is>
          <t>Non-Veg</t>
        </is>
      </c>
      <c r="K17" s="83" t="inlineStr">
        <is>
          <t>LOOP-IFS--EB07</t>
        </is>
      </c>
      <c r="L17" s="83" t="inlineStr"/>
      <c r="M17" s="85" t="n"/>
      <c r="N17" s="85" t="n"/>
      <c r="O17" s="85" t="n"/>
      <c r="P17" s="85" t="n"/>
      <c r="Q17" s="85" t="n"/>
      <c r="R17" s="85" t="n"/>
      <c r="S17" s="85" t="n"/>
      <c r="T17" s="85" t="n"/>
      <c r="U17" s="85" t="n"/>
      <c r="V17" s="85" t="n"/>
      <c r="W17" s="85" t="n"/>
      <c r="X17" s="85" t="n"/>
      <c r="Y17" s="85" t="n"/>
      <c r="Z17" s="85" t="n"/>
    </row>
    <row r="18" ht="21.75" customHeight="1" s="108">
      <c r="A18" s="83" t="n">
        <v>42</v>
      </c>
      <c r="B18" s="84" t="inlineStr">
        <is>
          <t>Undergraduate Applicant</t>
        </is>
      </c>
      <c r="C18" s="83" t="inlineStr">
        <is>
          <t>Iyoob Mohamed Muaath</t>
        </is>
      </c>
      <c r="D18" s="83" t="inlineStr">
        <is>
          <t>muaathim22@gmail.com</t>
        </is>
      </c>
      <c r="E18" s="83" t="inlineStr">
        <is>
          <t>+94 75 263 1611</t>
        </is>
      </c>
      <c r="F18" s="83" t="inlineStr">
        <is>
          <t>200205301342</t>
        </is>
      </c>
      <c r="G18" s="83" t="inlineStr">
        <is>
          <t>BSc (Hons) in Information Technology - Information Technology</t>
        </is>
      </c>
      <c r="H18" s="83" t="inlineStr">
        <is>
          <t>3rd Year</t>
        </is>
      </c>
      <c r="I18" s="83" t="inlineStr">
        <is>
          <t>No</t>
        </is>
      </c>
      <c r="J18" s="83" t="inlineStr">
        <is>
          <t>Non-Veg</t>
        </is>
      </c>
      <c r="K18" s="83" t="inlineStr">
        <is>
          <t>LOOP-IFS--ECC4</t>
        </is>
      </c>
      <c r="L18" s="83" t="inlineStr"/>
      <c r="M18" s="85" t="n"/>
      <c r="N18" s="85" t="n"/>
      <c r="O18" s="85" t="n"/>
      <c r="P18" s="85" t="n"/>
      <c r="Q18" s="85" t="n"/>
      <c r="R18" s="85" t="n"/>
      <c r="S18" s="85" t="n"/>
      <c r="T18" s="85" t="n"/>
      <c r="U18" s="85" t="n"/>
      <c r="V18" s="85" t="n"/>
      <c r="W18" s="85" t="n"/>
      <c r="X18" s="85" t="n"/>
      <c r="Y18" s="85" t="n"/>
      <c r="Z18" s="85" t="n"/>
    </row>
    <row r="19" ht="21.75" customHeight="1" s="108">
      <c r="A19" s="83" t="n">
        <v>43</v>
      </c>
      <c r="B19" s="84" t="inlineStr">
        <is>
          <t>Undergraduate Applicant</t>
        </is>
      </c>
      <c r="C19" s="83" t="inlineStr">
        <is>
          <t>E.w.i.d.ekanayaka</t>
        </is>
      </c>
      <c r="D19" s="83" t="inlineStr">
        <is>
          <t>ishandilhara57@gmail.com</t>
        </is>
      </c>
      <c r="E19" s="83" t="inlineStr">
        <is>
          <t>0785493978</t>
        </is>
      </c>
      <c r="F19" s="83" t="inlineStr">
        <is>
          <t>200208801882</t>
        </is>
      </c>
      <c r="G19" s="83" t="inlineStr">
        <is>
          <t>BSc (Hons) in Software Engineering</t>
        </is>
      </c>
      <c r="H19" s="83" t="inlineStr">
        <is>
          <t>3rd Year</t>
        </is>
      </c>
      <c r="I19" s="83" t="inlineStr">
        <is>
          <t>No</t>
        </is>
      </c>
      <c r="J19" s="83" t="inlineStr">
        <is>
          <t>Non-Veg</t>
        </is>
      </c>
      <c r="K19" s="83" t="inlineStr">
        <is>
          <t>LOOP-IFS--6E4B</t>
        </is>
      </c>
      <c r="L19" s="83" t="inlineStr"/>
      <c r="M19" s="85" t="n"/>
      <c r="N19" s="85" t="n"/>
      <c r="O19" s="85" t="n"/>
      <c r="P19" s="85" t="n"/>
      <c r="Q19" s="85" t="n"/>
      <c r="R19" s="85" t="n"/>
      <c r="S19" s="85" t="n"/>
      <c r="T19" s="85" t="n"/>
      <c r="U19" s="85" t="n"/>
      <c r="V19" s="85" t="n"/>
      <c r="W19" s="85" t="n"/>
      <c r="X19" s="85" t="n"/>
      <c r="Y19" s="85" t="n"/>
      <c r="Z19" s="85" t="n"/>
    </row>
    <row r="20" ht="21.75" customHeight="1" s="108">
      <c r="A20" s="83" t="n">
        <v>45</v>
      </c>
      <c r="B20" s="84" t="inlineStr">
        <is>
          <t>Undergraduate Applicant</t>
        </is>
      </c>
      <c r="C20" s="83" t="inlineStr">
        <is>
          <t>Chandima Bandara</t>
        </is>
      </c>
      <c r="D20" s="83" t="inlineStr">
        <is>
          <t>chandimacbbandara@gmail.com</t>
        </is>
      </c>
      <c r="E20" s="83" t="inlineStr">
        <is>
          <t>+94 728288317</t>
        </is>
      </c>
      <c r="F20" s="83" t="inlineStr">
        <is>
          <t>200324210522</t>
        </is>
      </c>
      <c r="G20" s="83" t="inlineStr">
        <is>
          <t>BSc (Hons) in Information Technology - Data Science</t>
        </is>
      </c>
      <c r="H20" s="83" t="inlineStr">
        <is>
          <t>3rd Year</t>
        </is>
      </c>
      <c r="I20" s="83" t="inlineStr">
        <is>
          <t>No</t>
        </is>
      </c>
      <c r="J20" s="83" t="inlineStr">
        <is>
          <t>Non-Veg</t>
        </is>
      </c>
      <c r="K20" s="83" t="inlineStr">
        <is>
          <t>LOOP-IFS--C166</t>
        </is>
      </c>
      <c r="L20" s="83" t="inlineStr"/>
      <c r="M20" s="85" t="n"/>
      <c r="N20" s="85" t="n"/>
      <c r="O20" s="85" t="n"/>
      <c r="P20" s="85" t="n"/>
      <c r="Q20" s="85" t="n"/>
      <c r="R20" s="85" t="n"/>
      <c r="S20" s="85" t="n"/>
      <c r="T20" s="85" t="n"/>
      <c r="U20" s="85" t="n"/>
      <c r="V20" s="85" t="n"/>
      <c r="W20" s="85" t="n"/>
      <c r="X20" s="85" t="n"/>
      <c r="Y20" s="85" t="n"/>
      <c r="Z20" s="85" t="n"/>
    </row>
    <row r="21" ht="21.75" customHeight="1" s="108">
      <c r="A21" s="83" t="n">
        <v>48</v>
      </c>
      <c r="B21" s="87" t="inlineStr">
        <is>
          <t>Open Source Contributor</t>
        </is>
      </c>
      <c r="C21" s="83" t="inlineStr">
        <is>
          <t>Gaveesha Madhushan</t>
        </is>
      </c>
      <c r="D21" s="83" t="inlineStr">
        <is>
          <t>gaveeshamadhushan15@gmail.com</t>
        </is>
      </c>
      <c r="E21" s="83" t="inlineStr">
        <is>
          <t>0773875808</t>
        </is>
      </c>
      <c r="F21" s="83" t="inlineStr">
        <is>
          <t>200215301630</t>
        </is>
      </c>
      <c r="G21" s="83" t="inlineStr">
        <is>
          <t>BSc (Hons) in Software Engineering</t>
        </is>
      </c>
      <c r="H21" s="83" t="inlineStr">
        <is>
          <t>3rd Year</t>
        </is>
      </c>
      <c r="I21" s="83" t="inlineStr">
        <is>
          <t>No</t>
        </is>
      </c>
      <c r="J21" s="83" t="inlineStr">
        <is>
          <t>Non-Veg</t>
        </is>
      </c>
      <c r="K21" s="83" t="inlineStr">
        <is>
          <t>LOOP-IFS--D2F1</t>
        </is>
      </c>
      <c r="L21" s="83" t="inlineStr"/>
      <c r="M21" s="85" t="n"/>
      <c r="N21" s="85" t="n"/>
      <c r="O21" s="85" t="n"/>
      <c r="P21" s="85" t="n"/>
      <c r="Q21" s="85" t="n"/>
      <c r="R21" s="85" t="n"/>
      <c r="S21" s="85" t="n"/>
      <c r="T21" s="85" t="n"/>
      <c r="U21" s="85" t="n"/>
      <c r="V21" s="85" t="n"/>
      <c r="W21" s="85" t="n"/>
      <c r="X21" s="85" t="n"/>
      <c r="Y21" s="85" t="n"/>
      <c r="Z21" s="85" t="n"/>
    </row>
    <row r="22" ht="21.75" customHeight="1" s="108">
      <c r="A22" s="83" t="n">
        <v>49</v>
      </c>
      <c r="B22" s="87" t="inlineStr">
        <is>
          <t>Open Source Contributor</t>
        </is>
      </c>
      <c r="C22" s="83" t="inlineStr">
        <is>
          <t>Sishan Achinthya Hewapathirana</t>
        </is>
      </c>
      <c r="D22" s="83" t="inlineStr">
        <is>
          <t>sishanhewa4@gmail.com</t>
        </is>
      </c>
      <c r="E22" s="83" t="inlineStr">
        <is>
          <t>713274788</t>
        </is>
      </c>
      <c r="F22" s="83" t="inlineStr">
        <is>
          <t>200328410750</t>
        </is>
      </c>
      <c r="G22" s="83" t="inlineStr">
        <is>
          <t>BSc (Hons) in Software Engineering</t>
        </is>
      </c>
      <c r="H22" s="83" t="inlineStr">
        <is>
          <t>3rd Year</t>
        </is>
      </c>
      <c r="I22" s="83" t="inlineStr">
        <is>
          <t>No</t>
        </is>
      </c>
      <c r="J22" s="83" t="inlineStr">
        <is>
          <t>Non-Veg</t>
        </is>
      </c>
      <c r="K22" s="83" t="inlineStr">
        <is>
          <t>LOOP-IFS--FD6B</t>
        </is>
      </c>
      <c r="L22" s="83" t="inlineStr"/>
      <c r="M22" s="85" t="n"/>
      <c r="N22" s="85" t="n"/>
      <c r="O22" s="85" t="n"/>
      <c r="P22" s="85" t="n"/>
      <c r="Q22" s="85" t="n"/>
      <c r="R22" s="85" t="n"/>
      <c r="S22" s="85" t="n"/>
      <c r="T22" s="85" t="n"/>
      <c r="U22" s="85" t="n"/>
      <c r="V22" s="85" t="n"/>
      <c r="W22" s="85" t="n"/>
      <c r="X22" s="85" t="n"/>
      <c r="Y22" s="85" t="n"/>
      <c r="Z22" s="85" t="n"/>
    </row>
    <row r="23" ht="21.75" customHeight="1" s="108">
      <c r="A23" s="83" t="n">
        <v>53</v>
      </c>
      <c r="B23" s="87" t="inlineStr">
        <is>
          <t>Open Source Contributor</t>
        </is>
      </c>
      <c r="C23" s="83" t="inlineStr">
        <is>
          <t>Thiloka Jeewani Kulathunga</t>
        </is>
      </c>
      <c r="D23" s="83" t="inlineStr">
        <is>
          <t>it24100209@my.sliit.lk</t>
        </is>
      </c>
      <c r="E23" s="83" t="inlineStr">
        <is>
          <t>0764300096</t>
        </is>
      </c>
      <c r="F23" s="83" t="inlineStr">
        <is>
          <t>200369112314</t>
        </is>
      </c>
      <c r="G23" s="83" t="inlineStr">
        <is>
          <t>BSc (Hons) in Information Technology - Artificial Intelligence</t>
        </is>
      </c>
      <c r="H23" s="83" t="inlineStr">
        <is>
          <t>3rd Year</t>
        </is>
      </c>
      <c r="I23" s="83" t="inlineStr">
        <is>
          <t>No</t>
        </is>
      </c>
      <c r="J23" s="83" t="inlineStr">
        <is>
          <t>Non-Veg</t>
        </is>
      </c>
      <c r="K23" s="83" t="inlineStr">
        <is>
          <t>LOOP-IFS--C5B5</t>
        </is>
      </c>
      <c r="L23" s="83" t="inlineStr"/>
      <c r="M23" s="85" t="n"/>
      <c r="N23" s="85" t="n"/>
      <c r="O23" s="85" t="n"/>
      <c r="P23" s="85" t="n"/>
      <c r="Q23" s="85" t="n"/>
      <c r="R23" s="85" t="n"/>
      <c r="S23" s="85" t="n"/>
      <c r="T23" s="85" t="n"/>
      <c r="U23" s="85" t="n"/>
      <c r="V23" s="85" t="n"/>
      <c r="W23" s="85" t="n"/>
      <c r="X23" s="85" t="n"/>
      <c r="Y23" s="85" t="n"/>
      <c r="Z23" s="85" t="n"/>
    </row>
    <row r="24" ht="21.75" customHeight="1" s="108">
      <c r="A24" s="83" t="n">
        <v>56</v>
      </c>
      <c r="B24" s="86" t="inlineStr">
        <is>
          <t>CyberShield Volunteer</t>
        </is>
      </c>
      <c r="C24" s="83" t="inlineStr">
        <is>
          <t>Hashini Hansika</t>
        </is>
      </c>
      <c r="D24" s="83" t="inlineStr">
        <is>
          <t>hansikahashini65@gmail.com</t>
        </is>
      </c>
      <c r="E24" s="83" t="inlineStr">
        <is>
          <t>+94763984663</t>
        </is>
      </c>
      <c r="F24" s="83" t="inlineStr">
        <is>
          <t>200365711746</t>
        </is>
      </c>
      <c r="G24" s="83" t="inlineStr">
        <is>
          <t>BSc (Hons) in Information Technology - Computer Systems &amp; Network Engineering</t>
        </is>
      </c>
      <c r="H24" s="83" t="inlineStr">
        <is>
          <t>3rd Year</t>
        </is>
      </c>
      <c r="I24" s="83" t="inlineStr">
        <is>
          <t>No</t>
        </is>
      </c>
      <c r="J24" s="83" t="inlineStr">
        <is>
          <t>Non-Veg</t>
        </is>
      </c>
      <c r="K24" s="83" t="inlineStr">
        <is>
          <t>LOOP-IFS--35F2</t>
        </is>
      </c>
      <c r="L24" s="83" t="inlineStr"/>
      <c r="M24" s="85" t="n"/>
      <c r="N24" s="85" t="n"/>
      <c r="O24" s="85" t="n"/>
      <c r="P24" s="85" t="n"/>
      <c r="Q24" s="85" t="n"/>
      <c r="R24" s="85" t="n"/>
      <c r="S24" s="85" t="n"/>
      <c r="T24" s="85" t="n"/>
      <c r="U24" s="85" t="n"/>
      <c r="V24" s="85" t="n"/>
      <c r="W24" s="85" t="n"/>
      <c r="X24" s="85" t="n"/>
      <c r="Y24" s="85" t="n"/>
      <c r="Z24" s="85" t="n"/>
    </row>
    <row r="25" ht="21.75" customHeight="1" s="108">
      <c r="A25" s="83" t="n">
        <v>59</v>
      </c>
      <c r="B25" s="84" t="inlineStr">
        <is>
          <t>Undergraduate Applicant</t>
        </is>
      </c>
      <c r="C25" s="83" t="inlineStr">
        <is>
          <t>Manula Cooray</t>
        </is>
      </c>
      <c r="D25" s="83" t="inlineStr">
        <is>
          <t>manulacooray@gmail.com</t>
        </is>
      </c>
      <c r="E25" s="83" t="inlineStr">
        <is>
          <t>+94 70 255 7227</t>
        </is>
      </c>
      <c r="F25" s="83" t="inlineStr">
        <is>
          <t>200236000817</t>
        </is>
      </c>
      <c r="G25" s="83" t="inlineStr">
        <is>
          <t>BSc (Hons) in Computer Science</t>
        </is>
      </c>
      <c r="H25" s="83" t="inlineStr">
        <is>
          <t>4th Year</t>
        </is>
      </c>
      <c r="I25" s="83" t="inlineStr">
        <is>
          <t>No</t>
        </is>
      </c>
      <c r="J25" s="83" t="inlineStr">
        <is>
          <t>Non-Veg</t>
        </is>
      </c>
      <c r="K25" s="83" t="inlineStr">
        <is>
          <t>LOOP-IFS--2A59</t>
        </is>
      </c>
      <c r="L25" s="83" t="inlineStr"/>
      <c r="M25" s="85" t="n"/>
      <c r="N25" s="85" t="n"/>
      <c r="O25" s="85" t="n"/>
      <c r="P25" s="85" t="n"/>
      <c r="Q25" s="85" t="n"/>
      <c r="R25" s="85" t="n"/>
      <c r="S25" s="85" t="n"/>
      <c r="T25" s="85" t="n"/>
      <c r="U25" s="85" t="n"/>
      <c r="V25" s="85" t="n"/>
      <c r="W25" s="85" t="n"/>
      <c r="X25" s="85" t="n"/>
      <c r="Y25" s="85" t="n"/>
      <c r="Z25" s="85" t="n"/>
    </row>
    <row r="26" ht="21.75" customHeight="1" s="108">
      <c r="A26" s="83" t="n">
        <v>60</v>
      </c>
      <c r="B26" s="86" t="inlineStr">
        <is>
          <t>CyberShield Volunteer</t>
        </is>
      </c>
      <c r="C26" s="83" t="inlineStr">
        <is>
          <t>Oshadhi Manage</t>
        </is>
      </c>
      <c r="D26" s="83" t="inlineStr">
        <is>
          <t>oshadhimanage@gmail.com</t>
        </is>
      </c>
      <c r="E26" s="83" t="inlineStr">
        <is>
          <t>0710753854</t>
        </is>
      </c>
      <c r="F26" s="83" t="inlineStr">
        <is>
          <t>200384211024</t>
        </is>
      </c>
      <c r="G26" s="83" t="inlineStr">
        <is>
          <t>BSc (Hons) in Computer Science</t>
        </is>
      </c>
      <c r="H26" s="83" t="inlineStr">
        <is>
          <t>3rd Year</t>
        </is>
      </c>
      <c r="I26" s="83" t="inlineStr">
        <is>
          <t>No</t>
        </is>
      </c>
      <c r="J26" s="83" t="inlineStr">
        <is>
          <t>Non-Veg</t>
        </is>
      </c>
      <c r="K26" s="83" t="inlineStr">
        <is>
          <t>LOOP-IFS--F5EC</t>
        </is>
      </c>
      <c r="L26" s="83" t="inlineStr"/>
      <c r="M26" s="85" t="n"/>
      <c r="N26" s="85" t="n"/>
      <c r="O26" s="85" t="n"/>
      <c r="P26" s="85" t="n"/>
      <c r="Q26" s="85" t="n"/>
      <c r="R26" s="85" t="n"/>
      <c r="S26" s="85" t="n"/>
      <c r="T26" s="85" t="n"/>
      <c r="U26" s="85" t="n"/>
      <c r="V26" s="85" t="n"/>
      <c r="W26" s="85" t="n"/>
      <c r="X26" s="85" t="n"/>
      <c r="Y26" s="85" t="n"/>
      <c r="Z26" s="85" t="n"/>
    </row>
    <row r="27" ht="21.75" customHeight="1" s="108">
      <c r="A27" s="83" t="n">
        <v>63</v>
      </c>
      <c r="B27" s="86" t="inlineStr">
        <is>
          <t>CyberShield Volunteer</t>
        </is>
      </c>
      <c r="C27" s="83" t="inlineStr">
        <is>
          <t>Maheen Navoda</t>
        </is>
      </c>
      <c r="D27" s="83" t="inlineStr">
        <is>
          <t>maheennavoda04@gmail.com</t>
        </is>
      </c>
      <c r="E27" s="83" t="inlineStr">
        <is>
          <t>0767328270</t>
        </is>
      </c>
      <c r="F27" s="83" t="inlineStr">
        <is>
          <t>200429501140</t>
        </is>
      </c>
      <c r="G27" s="83" t="inlineStr">
        <is>
          <t>BSc (Hons) in Information Technology - Cyber Security</t>
        </is>
      </c>
      <c r="H27" s="83" t="inlineStr">
        <is>
          <t>3rd Year</t>
        </is>
      </c>
      <c r="I27" s="83" t="inlineStr">
        <is>
          <t>No</t>
        </is>
      </c>
      <c r="J27" s="83" t="inlineStr">
        <is>
          <t>Non-Veg</t>
        </is>
      </c>
      <c r="K27" s="83" t="inlineStr">
        <is>
          <t>LOOP-IFS--AB53</t>
        </is>
      </c>
      <c r="L27" s="83" t="inlineStr"/>
      <c r="M27" s="85" t="n"/>
      <c r="N27" s="85" t="n"/>
      <c r="O27" s="85" t="n"/>
      <c r="P27" s="85" t="n"/>
      <c r="Q27" s="85" t="n"/>
      <c r="R27" s="85" t="n"/>
      <c r="S27" s="85" t="n"/>
      <c r="T27" s="85" t="n"/>
      <c r="U27" s="85" t="n"/>
      <c r="V27" s="85" t="n"/>
      <c r="W27" s="85" t="n"/>
      <c r="X27" s="85" t="n"/>
      <c r="Y27" s="85" t="n"/>
      <c r="Z27" s="85" t="n"/>
    </row>
    <row r="28" ht="21.75" customHeight="1" s="108">
      <c r="A28" s="88" t="n">
        <v>69</v>
      </c>
      <c r="B28" s="89" t="inlineStr">
        <is>
          <t>Reserved for SB Executive</t>
        </is>
      </c>
      <c r="C28" s="88" t="inlineStr">
        <is>
          <t>[IEEE SLIIT SB SEAT #1]</t>
        </is>
      </c>
      <c r="D28" s="88" t="inlineStr">
        <is>
          <t>sb.ieee@sliit.lk</t>
        </is>
      </c>
      <c r="E28" s="88" t="inlineStr">
        <is>
          <t>-</t>
        </is>
      </c>
      <c r="F28" s="88" t="inlineStr">
        <is>
          <t>-</t>
        </is>
      </c>
      <c r="G28" s="88" t="inlineStr">
        <is>
          <t>IEEE Student Branch of SLIIT Executive Board</t>
        </is>
      </c>
      <c r="H28" s="88" t="inlineStr">
        <is>
          <t>SB Board</t>
        </is>
      </c>
      <c r="I28" s="88" t="inlineStr">
        <is>
          <t>SB Executive</t>
        </is>
      </c>
      <c r="J28" s="88" t="inlineStr">
        <is>
          <t>Standard</t>
        </is>
      </c>
      <c r="K28" s="88" t="inlineStr">
        <is>
          <t>LOOP-IFS-SB-1</t>
        </is>
      </c>
      <c r="L28" s="88" t="inlineStr"/>
      <c r="M28" s="90" t="n"/>
      <c r="N28" s="90" t="n"/>
      <c r="O28" s="90" t="n"/>
      <c r="P28" s="90" t="n"/>
      <c r="Q28" s="90" t="n"/>
      <c r="R28" s="90" t="n"/>
      <c r="S28" s="90" t="n"/>
      <c r="T28" s="90" t="n"/>
      <c r="U28" s="90" t="n"/>
      <c r="V28" s="90" t="n"/>
      <c r="W28" s="90" t="n"/>
      <c r="X28" s="90" t="n"/>
      <c r="Y28" s="90" t="n"/>
      <c r="Z28" s="90" t="n"/>
    </row>
    <row r="29" ht="21.75" customHeight="1" s="108">
      <c r="A29" s="88" t="n">
        <v>70</v>
      </c>
      <c r="B29" s="89" t="inlineStr">
        <is>
          <t>Reserved for SB Executive</t>
        </is>
      </c>
      <c r="C29" s="88" t="inlineStr">
        <is>
          <t>[IEEE SLIIT SB SEAT #2]</t>
        </is>
      </c>
      <c r="D29" s="88" t="inlineStr">
        <is>
          <t>sb.ieee@sliit.lk</t>
        </is>
      </c>
      <c r="E29" s="88" t="inlineStr">
        <is>
          <t>-</t>
        </is>
      </c>
      <c r="F29" s="88" t="inlineStr">
        <is>
          <t>-</t>
        </is>
      </c>
      <c r="G29" s="88" t="inlineStr">
        <is>
          <t>IEEE Student Branch of SLIIT Executive Board</t>
        </is>
      </c>
      <c r="H29" s="88" t="inlineStr">
        <is>
          <t>SB Board</t>
        </is>
      </c>
      <c r="I29" s="88" t="inlineStr">
        <is>
          <t>SB Executive</t>
        </is>
      </c>
      <c r="J29" s="88" t="inlineStr">
        <is>
          <t>Standard</t>
        </is>
      </c>
      <c r="K29" s="88" t="inlineStr">
        <is>
          <t>LOOP-IFS-SB-2</t>
        </is>
      </c>
      <c r="L29" s="88" t="inlineStr"/>
      <c r="M29" s="90" t="n"/>
      <c r="N29" s="90" t="n"/>
      <c r="O29" s="90" t="n"/>
      <c r="P29" s="90" t="n"/>
      <c r="Q29" s="90" t="n"/>
      <c r="R29" s="90" t="n"/>
      <c r="S29" s="90" t="n"/>
      <c r="T29" s="90" t="n"/>
      <c r="U29" s="90" t="n"/>
      <c r="V29" s="90" t="n"/>
      <c r="W29" s="90" t="n"/>
      <c r="X29" s="90" t="n"/>
      <c r="Y29" s="90" t="n"/>
      <c r="Z29" s="90" t="n"/>
    </row>
    <row r="30" ht="21.75" customHeight="1" s="108">
      <c r="A30" s="83" t="n">
        <v>1</v>
      </c>
      <c r="B30" s="91" t="inlineStr">
        <is>
          <t>IEEE Member</t>
        </is>
      </c>
      <c r="C30" s="83" t="inlineStr">
        <is>
          <t>Anbuchselvan Sharvessh Alakaraj</t>
        </is>
      </c>
      <c r="D30" s="83" t="inlineStr">
        <is>
          <t>a.sharvesshalakaraj@yahoo.com</t>
        </is>
      </c>
      <c r="E30" s="83" t="inlineStr">
        <is>
          <t>0771432469</t>
        </is>
      </c>
      <c r="F30" s="83" t="inlineStr">
        <is>
          <t>200504203358</t>
        </is>
      </c>
      <c r="G30" s="83" t="inlineStr">
        <is>
          <t>BSc (Hons) in Computer Science</t>
        </is>
      </c>
      <c r="H30" s="83" t="inlineStr">
        <is>
          <t>2nd Year</t>
        </is>
      </c>
      <c r="I30" s="83" t="inlineStr">
        <is>
          <t>Yes</t>
        </is>
      </c>
      <c r="J30" s="83" t="inlineStr">
        <is>
          <t>Non-Veg</t>
        </is>
      </c>
      <c r="K30" s="83" t="inlineStr">
        <is>
          <t>LOOP-IFS--3EB5</t>
        </is>
      </c>
      <c r="L30" s="83" t="inlineStr"/>
      <c r="M30" s="85" t="n"/>
      <c r="N30" s="85" t="n"/>
      <c r="O30" s="85" t="n"/>
      <c r="P30" s="85" t="n"/>
      <c r="Q30" s="85" t="n"/>
      <c r="R30" s="85" t="n"/>
      <c r="S30" s="85" t="n"/>
      <c r="T30" s="85" t="n"/>
      <c r="U30" s="85" t="n"/>
      <c r="V30" s="85" t="n"/>
      <c r="W30" s="85" t="n"/>
      <c r="X30" s="85" t="n"/>
      <c r="Y30" s="85" t="n"/>
      <c r="Z30" s="85" t="n"/>
    </row>
    <row r="31" ht="21.75" customHeight="1" s="108">
      <c r="A31" s="83" t="n">
        <v>2</v>
      </c>
      <c r="B31" s="91" t="inlineStr">
        <is>
          <t>IEEE Member</t>
        </is>
      </c>
      <c r="C31" s="83" t="inlineStr">
        <is>
          <t>Ranjula Adikari</t>
        </is>
      </c>
      <c r="D31" s="83" t="inlineStr">
        <is>
          <t>ranjulaadikari2004@gmail.com</t>
        </is>
      </c>
      <c r="E31" s="83" t="inlineStr">
        <is>
          <t>0761863828</t>
        </is>
      </c>
      <c r="F31" s="83" t="inlineStr">
        <is>
          <t>200428800685</t>
        </is>
      </c>
      <c r="G31" s="83" t="inlineStr">
        <is>
          <t>BSc (Hons) in Computer Science</t>
        </is>
      </c>
      <c r="H31" s="83" t="inlineStr">
        <is>
          <t>3rd Year</t>
        </is>
      </c>
      <c r="I31" s="83" t="inlineStr">
        <is>
          <t>Yes</t>
        </is>
      </c>
      <c r="J31" s="83" t="inlineStr">
        <is>
          <t>Non-Veg</t>
        </is>
      </c>
      <c r="K31" s="83" t="inlineStr">
        <is>
          <t>LOOP-IFS--1429</t>
        </is>
      </c>
      <c r="L31" s="83" t="inlineStr"/>
      <c r="M31" s="85" t="n"/>
      <c r="N31" s="85" t="n"/>
      <c r="O31" s="85" t="n"/>
      <c r="P31" s="85" t="n"/>
      <c r="Q31" s="85" t="n"/>
      <c r="R31" s="85" t="n"/>
      <c r="S31" s="85" t="n"/>
      <c r="T31" s="85" t="n"/>
      <c r="U31" s="85" t="n"/>
      <c r="V31" s="85" t="n"/>
      <c r="W31" s="85" t="n"/>
      <c r="X31" s="85" t="n"/>
      <c r="Y31" s="85" t="n"/>
      <c r="Z31" s="85" t="n"/>
    </row>
    <row r="32" ht="21.75" customHeight="1" s="108">
      <c r="A32" s="83" t="n">
        <v>3</v>
      </c>
      <c r="B32" s="91" t="inlineStr">
        <is>
          <t>IEEE Member</t>
        </is>
      </c>
      <c r="C32" s="83" t="inlineStr">
        <is>
          <t>Vaishnaviey Karunananthan</t>
        </is>
      </c>
      <c r="D32" s="83" t="inlineStr">
        <is>
          <t>vaishkaru28@gmail.com</t>
        </is>
      </c>
      <c r="E32" s="83" t="inlineStr">
        <is>
          <t>+94743916818</t>
        </is>
      </c>
      <c r="F32" s="83" t="inlineStr">
        <is>
          <t>200580200414</t>
        </is>
      </c>
      <c r="G32" s="83" t="inlineStr">
        <is>
          <t>BSc (Hons) in Computer Science</t>
        </is>
      </c>
      <c r="H32" s="83" t="inlineStr">
        <is>
          <t>2nd Year</t>
        </is>
      </c>
      <c r="I32" s="83" t="inlineStr">
        <is>
          <t>Yes</t>
        </is>
      </c>
      <c r="J32" s="83" t="inlineStr">
        <is>
          <t>Non-Veg</t>
        </is>
      </c>
      <c r="K32" s="83" t="inlineStr">
        <is>
          <t>LOOP-IFS--2220</t>
        </is>
      </c>
      <c r="L32" s="83" t="inlineStr"/>
      <c r="M32" s="85" t="n"/>
      <c r="N32" s="85" t="n"/>
      <c r="O32" s="85" t="n"/>
      <c r="P32" s="85" t="n"/>
      <c r="Q32" s="85" t="n"/>
      <c r="R32" s="85" t="n"/>
      <c r="S32" s="85" t="n"/>
      <c r="T32" s="85" t="n"/>
      <c r="U32" s="85" t="n"/>
      <c r="V32" s="85" t="n"/>
      <c r="W32" s="85" t="n"/>
      <c r="X32" s="85" t="n"/>
      <c r="Y32" s="85" t="n"/>
      <c r="Z32" s="85" t="n"/>
    </row>
    <row r="33" ht="21.75" customHeight="1" s="108">
      <c r="A33" s="83" t="n">
        <v>4</v>
      </c>
      <c r="B33" s="91" t="inlineStr">
        <is>
          <t>IEEE Member</t>
        </is>
      </c>
      <c r="C33" s="83" t="inlineStr">
        <is>
          <t>W. Pinithi Ransara Fernando</t>
        </is>
      </c>
      <c r="D33" s="83" t="inlineStr">
        <is>
          <t>pinithi0123ransara@gmail.com</t>
        </is>
      </c>
      <c r="E33" s="83" t="inlineStr">
        <is>
          <t>0772218163</t>
        </is>
      </c>
      <c r="F33" s="83" t="inlineStr">
        <is>
          <t>200366412481</t>
        </is>
      </c>
      <c r="G33" s="83" t="inlineStr">
        <is>
          <t>BSc (Hons) in Computer Science</t>
        </is>
      </c>
      <c r="H33" s="83" t="inlineStr">
        <is>
          <t>3rd Year</t>
        </is>
      </c>
      <c r="I33" s="83" t="inlineStr">
        <is>
          <t>Yes</t>
        </is>
      </c>
      <c r="J33" s="83" t="inlineStr">
        <is>
          <t>Non-Veg</t>
        </is>
      </c>
      <c r="K33" s="83" t="inlineStr">
        <is>
          <t>LOOP-IFS--B299</t>
        </is>
      </c>
      <c r="L33" s="83" t="inlineStr"/>
      <c r="M33" s="85" t="n"/>
      <c r="N33" s="85" t="n"/>
      <c r="O33" s="85" t="n"/>
      <c r="P33" s="85" t="n"/>
      <c r="Q33" s="85" t="n"/>
      <c r="R33" s="85" t="n"/>
      <c r="S33" s="85" t="n"/>
      <c r="T33" s="85" t="n"/>
      <c r="U33" s="85" t="n"/>
      <c r="V33" s="85" t="n"/>
      <c r="W33" s="85" t="n"/>
      <c r="X33" s="85" t="n"/>
      <c r="Y33" s="85" t="n"/>
      <c r="Z33" s="85" t="n"/>
    </row>
    <row r="34" ht="21.75" customHeight="1" s="108">
      <c r="A34" s="83" t="n">
        <v>5</v>
      </c>
      <c r="B34" s="92" t="inlineStr">
        <is>
          <t>CyberShield Vol + IEEE Member</t>
        </is>
      </c>
      <c r="C34" s="83" t="inlineStr">
        <is>
          <t>Hashini Rajapaksha</t>
        </is>
      </c>
      <c r="D34" s="83" t="inlineStr">
        <is>
          <t>hashinisandeepa7@gmail.com</t>
        </is>
      </c>
      <c r="E34" s="83" t="inlineStr">
        <is>
          <t>0741606014</t>
        </is>
      </c>
      <c r="F34" s="83" t="inlineStr">
        <is>
          <t>200371011867</t>
        </is>
      </c>
      <c r="G34" s="83" t="inlineStr">
        <is>
          <t>Other SLIIT Degree Program</t>
        </is>
      </c>
      <c r="H34" s="83" t="inlineStr">
        <is>
          <t>3rd Year</t>
        </is>
      </c>
      <c r="I34" s="83" t="inlineStr">
        <is>
          <t>Yes</t>
        </is>
      </c>
      <c r="J34" s="83" t="inlineStr">
        <is>
          <t>Non-Veg</t>
        </is>
      </c>
      <c r="K34" s="83" t="inlineStr">
        <is>
          <t>LOOP-IFS--180C</t>
        </is>
      </c>
      <c r="L34" s="83" t="inlineStr"/>
      <c r="M34" s="85" t="n"/>
      <c r="N34" s="85" t="n"/>
      <c r="O34" s="85" t="n"/>
      <c r="P34" s="85" t="n"/>
      <c r="Q34" s="85" t="n"/>
      <c r="R34" s="85" t="n"/>
      <c r="S34" s="85" t="n"/>
      <c r="T34" s="85" t="n"/>
      <c r="U34" s="85" t="n"/>
      <c r="V34" s="85" t="n"/>
      <c r="W34" s="85" t="n"/>
      <c r="X34" s="85" t="n"/>
      <c r="Y34" s="85" t="n"/>
      <c r="Z34" s="85" t="n"/>
    </row>
    <row r="35" ht="21.75" customHeight="1" s="108">
      <c r="A35" s="83" t="n">
        <v>6</v>
      </c>
      <c r="B35" s="91" t="inlineStr">
        <is>
          <t>IEEE Member</t>
        </is>
      </c>
      <c r="C35" s="83" t="inlineStr">
        <is>
          <t>Shageeshan Thamodharam</t>
        </is>
      </c>
      <c r="D35" s="83" t="inlineStr">
        <is>
          <t>shageejoxtyn@gmail.com</t>
        </is>
      </c>
      <c r="E35" s="83" t="inlineStr">
        <is>
          <t>0771089061</t>
        </is>
      </c>
      <c r="F35" s="83" t="inlineStr">
        <is>
          <t>200423302190</t>
        </is>
      </c>
      <c r="G35" s="83" t="inlineStr">
        <is>
          <t>BSc (Hons) in Software Engineering</t>
        </is>
      </c>
      <c r="H35" s="83" t="inlineStr">
        <is>
          <t>3rd Year</t>
        </is>
      </c>
      <c r="I35" s="83" t="inlineStr">
        <is>
          <t>Yes</t>
        </is>
      </c>
      <c r="J35" s="83" t="inlineStr">
        <is>
          <t>Non-Veg</t>
        </is>
      </c>
      <c r="K35" s="83" t="inlineStr">
        <is>
          <t>LOOP-IFS--BB2D</t>
        </is>
      </c>
      <c r="L35" s="83" t="inlineStr"/>
      <c r="M35" s="85" t="n"/>
      <c r="N35" s="85" t="n"/>
      <c r="O35" s="85" t="n"/>
      <c r="P35" s="85" t="n"/>
      <c r="Q35" s="85" t="n"/>
      <c r="R35" s="85" t="n"/>
      <c r="S35" s="85" t="n"/>
      <c r="T35" s="85" t="n"/>
      <c r="U35" s="85" t="n"/>
      <c r="V35" s="85" t="n"/>
      <c r="W35" s="85" t="n"/>
      <c r="X35" s="85" t="n"/>
      <c r="Y35" s="85" t="n"/>
      <c r="Z35" s="85" t="n"/>
    </row>
    <row r="36" ht="21.75" customHeight="1" s="108">
      <c r="A36" s="83" t="n">
        <v>7</v>
      </c>
      <c r="B36" s="91" t="inlineStr">
        <is>
          <t>IEEE Member</t>
        </is>
      </c>
      <c r="C36" s="83" t="inlineStr">
        <is>
          <t>Kaveen Hasanga</t>
        </is>
      </c>
      <c r="D36" s="83" t="inlineStr">
        <is>
          <t>kaveenhasanga@gmail.com</t>
        </is>
      </c>
      <c r="E36" s="83" t="inlineStr">
        <is>
          <t>+94717680297</t>
        </is>
      </c>
      <c r="F36" s="83" t="inlineStr">
        <is>
          <t>200425404332</t>
        </is>
      </c>
      <c r="G36" s="83" t="inlineStr">
        <is>
          <t>BSc (Hons) in Information Technology - Cyber Security</t>
        </is>
      </c>
      <c r="H36" s="83" t="inlineStr">
        <is>
          <t>2nd Year</t>
        </is>
      </c>
      <c r="I36" s="83" t="inlineStr">
        <is>
          <t>Yes</t>
        </is>
      </c>
      <c r="J36" s="83" t="inlineStr">
        <is>
          <t>Non-Veg</t>
        </is>
      </c>
      <c r="K36" s="83" t="inlineStr">
        <is>
          <t>LOOP-IFS--7E5B</t>
        </is>
      </c>
      <c r="L36" s="83" t="inlineStr"/>
      <c r="M36" s="85" t="n"/>
      <c r="N36" s="85" t="n"/>
      <c r="O36" s="85" t="n"/>
      <c r="P36" s="85" t="n"/>
      <c r="Q36" s="85" t="n"/>
      <c r="R36" s="85" t="n"/>
      <c r="S36" s="85" t="n"/>
      <c r="T36" s="85" t="n"/>
      <c r="U36" s="85" t="n"/>
      <c r="V36" s="85" t="n"/>
      <c r="W36" s="85" t="n"/>
      <c r="X36" s="85" t="n"/>
      <c r="Y36" s="85" t="n"/>
      <c r="Z36" s="85" t="n"/>
    </row>
    <row r="37" ht="21.75" customHeight="1" s="108">
      <c r="A37" s="83" t="n">
        <v>8</v>
      </c>
      <c r="B37" s="91" t="inlineStr">
        <is>
          <t>IEEE Member</t>
        </is>
      </c>
      <c r="C37" s="83" t="inlineStr">
        <is>
          <t>Maheesha Pramuditha</t>
        </is>
      </c>
      <c r="D37" s="83" t="inlineStr">
        <is>
          <t>pramudithamaheesha@gmail.com</t>
        </is>
      </c>
      <c r="E37" s="83" t="inlineStr">
        <is>
          <t>0703849949</t>
        </is>
      </c>
      <c r="F37" s="83" t="inlineStr">
        <is>
          <t>200412201424</t>
        </is>
      </c>
      <c r="G37" s="83" t="inlineStr">
        <is>
          <t>BSc (Hons) in Computer Science</t>
        </is>
      </c>
      <c r="H37" s="83" t="inlineStr">
        <is>
          <t>3rd Year</t>
        </is>
      </c>
      <c r="I37" s="83" t="inlineStr">
        <is>
          <t>Yes</t>
        </is>
      </c>
      <c r="J37" s="83" t="inlineStr">
        <is>
          <t>Non-Veg</t>
        </is>
      </c>
      <c r="K37" s="83" t="inlineStr">
        <is>
          <t>LOOP-IFS--520B</t>
        </is>
      </c>
      <c r="L37" s="83" t="inlineStr"/>
      <c r="M37" s="85" t="n"/>
      <c r="N37" s="85" t="n"/>
      <c r="O37" s="85" t="n"/>
      <c r="P37" s="85" t="n"/>
      <c r="Q37" s="85" t="n"/>
      <c r="R37" s="85" t="n"/>
      <c r="S37" s="85" t="n"/>
      <c r="T37" s="85" t="n"/>
      <c r="U37" s="85" t="n"/>
      <c r="V37" s="85" t="n"/>
      <c r="W37" s="85" t="n"/>
      <c r="X37" s="85" t="n"/>
      <c r="Y37" s="85" t="n"/>
      <c r="Z37" s="85" t="n"/>
    </row>
    <row r="38" ht="21.75" customHeight="1" s="108">
      <c r="A38" s="83" t="n">
        <v>9</v>
      </c>
      <c r="B38" s="91" t="inlineStr">
        <is>
          <t>IEEE Member</t>
        </is>
      </c>
      <c r="C38" s="83" t="inlineStr">
        <is>
          <t>Kalith Dabare</t>
        </is>
      </c>
      <c r="D38" s="83" t="inlineStr">
        <is>
          <t>kalithdabare@gmail.com</t>
        </is>
      </c>
      <c r="E38" s="83" t="inlineStr">
        <is>
          <t>0703842009</t>
        </is>
      </c>
      <c r="F38" s="83" t="inlineStr">
        <is>
          <t>200513303913</t>
        </is>
      </c>
      <c r="G38" s="83" t="inlineStr">
        <is>
          <t>BSc (Hons) in Information Technology - Information Technology</t>
        </is>
      </c>
      <c r="H38" s="83" t="inlineStr">
        <is>
          <t>2nd Year</t>
        </is>
      </c>
      <c r="I38" s="83" t="inlineStr">
        <is>
          <t>Yes</t>
        </is>
      </c>
      <c r="J38" s="83" t="inlineStr">
        <is>
          <t>Non-Veg</t>
        </is>
      </c>
      <c r="K38" s="83" t="inlineStr">
        <is>
          <t>LOOP-IFS--8B3D</t>
        </is>
      </c>
      <c r="L38" s="83" t="inlineStr"/>
      <c r="M38" s="85" t="n"/>
      <c r="N38" s="85" t="n"/>
      <c r="O38" s="85" t="n"/>
      <c r="P38" s="85" t="n"/>
      <c r="Q38" s="85" t="n"/>
      <c r="R38" s="85" t="n"/>
      <c r="S38" s="85" t="n"/>
      <c r="T38" s="85" t="n"/>
      <c r="U38" s="85" t="n"/>
      <c r="V38" s="85" t="n"/>
      <c r="W38" s="85" t="n"/>
      <c r="X38" s="85" t="n"/>
      <c r="Y38" s="85" t="n"/>
      <c r="Z38" s="85" t="n"/>
    </row>
    <row r="39" ht="21.75" customHeight="1" s="108">
      <c r="A39" s="83" t="n">
        <v>10</v>
      </c>
      <c r="B39" s="91" t="inlineStr">
        <is>
          <t>IEEE Member</t>
        </is>
      </c>
      <c r="C39" s="83" t="inlineStr">
        <is>
          <t>Ruhansi Fernando</t>
        </is>
      </c>
      <c r="D39" s="83" t="inlineStr">
        <is>
          <t>hrsrfernando.13@gmail.com</t>
        </is>
      </c>
      <c r="E39" s="83" t="inlineStr">
        <is>
          <t>+94770475762</t>
        </is>
      </c>
      <c r="F39" s="83" t="inlineStr">
        <is>
          <t>200557302863</t>
        </is>
      </c>
      <c r="G39" s="83" t="inlineStr">
        <is>
          <t>Bachelor of Laws (LLB)</t>
        </is>
      </c>
      <c r="H39" s="83" t="inlineStr">
        <is>
          <t>2nd Year</t>
        </is>
      </c>
      <c r="I39" s="83" t="inlineStr">
        <is>
          <t>Yes</t>
        </is>
      </c>
      <c r="J39" s="83" t="inlineStr">
        <is>
          <t>Non-Veg</t>
        </is>
      </c>
      <c r="K39" s="83" t="inlineStr">
        <is>
          <t>LOOP-IFS--2AAE</t>
        </is>
      </c>
      <c r="L39" s="83" t="inlineStr"/>
      <c r="M39" s="85" t="n"/>
      <c r="N39" s="85" t="n"/>
      <c r="O39" s="85" t="n"/>
      <c r="P39" s="85" t="n"/>
      <c r="Q39" s="85" t="n"/>
      <c r="R39" s="85" t="n"/>
      <c r="S39" s="85" t="n"/>
      <c r="T39" s="85" t="n"/>
      <c r="U39" s="85" t="n"/>
      <c r="V39" s="85" t="n"/>
      <c r="W39" s="85" t="n"/>
      <c r="X39" s="85" t="n"/>
      <c r="Y39" s="85" t="n"/>
      <c r="Z39" s="85" t="n"/>
    </row>
    <row r="40" ht="21.75" customHeight="1" s="108">
      <c r="A40" s="83" t="n">
        <v>11</v>
      </c>
      <c r="B40" s="91" t="inlineStr">
        <is>
          <t>IEEE Member</t>
        </is>
      </c>
      <c r="C40" s="83" t="inlineStr">
        <is>
          <t>Nidhishan Sudharshan</t>
        </is>
      </c>
      <c r="D40" s="83" t="inlineStr">
        <is>
          <t>nidhishansudharshan24@gmail.com</t>
        </is>
      </c>
      <c r="E40" s="83" t="inlineStr">
        <is>
          <t>0779079903</t>
        </is>
      </c>
      <c r="F40" s="83" t="inlineStr">
        <is>
          <t>200602404605</t>
        </is>
      </c>
      <c r="G40" s="83" t="inlineStr">
        <is>
          <t>BSc (Hons) in Computer Science</t>
        </is>
      </c>
      <c r="H40" s="83" t="inlineStr">
        <is>
          <t>2nd Year</t>
        </is>
      </c>
      <c r="I40" s="83" t="inlineStr">
        <is>
          <t>Yes</t>
        </is>
      </c>
      <c r="J40" s="83" t="inlineStr">
        <is>
          <t>Non-Veg</t>
        </is>
      </c>
      <c r="K40" s="83" t="inlineStr">
        <is>
          <t>LOOP-IFS--129F</t>
        </is>
      </c>
      <c r="L40" s="83" t="inlineStr"/>
      <c r="M40" s="85" t="n"/>
      <c r="N40" s="85" t="n"/>
      <c r="O40" s="85" t="n"/>
      <c r="P40" s="85" t="n"/>
      <c r="Q40" s="85" t="n"/>
      <c r="R40" s="85" t="n"/>
      <c r="S40" s="85" t="n"/>
      <c r="T40" s="85" t="n"/>
      <c r="U40" s="85" t="n"/>
      <c r="V40" s="85" t="n"/>
      <c r="W40" s="85" t="n"/>
      <c r="X40" s="85" t="n"/>
      <c r="Y40" s="85" t="n"/>
      <c r="Z40" s="85" t="n"/>
    </row>
    <row r="41" ht="21.75" customHeight="1" s="108">
      <c r="A41" s="83" t="n">
        <v>12</v>
      </c>
      <c r="B41" s="91" t="inlineStr">
        <is>
          <t>IEEE Member</t>
        </is>
      </c>
      <c r="C41" s="83" t="inlineStr">
        <is>
          <t>Thrishodaran</t>
        </is>
      </c>
      <c r="D41" s="83" t="inlineStr">
        <is>
          <t>thrishor05@gmail.com</t>
        </is>
      </c>
      <c r="E41" s="83" t="inlineStr">
        <is>
          <t>076 348 1066</t>
        </is>
      </c>
      <c r="F41" s="83" t="inlineStr">
        <is>
          <t>200504201495</t>
        </is>
      </c>
      <c r="G41" s="83" t="inlineStr">
        <is>
          <t>BSc (Hons) in Information Technology - Cyber Security</t>
        </is>
      </c>
      <c r="H41" s="83" t="inlineStr">
        <is>
          <t>2nd Year</t>
        </is>
      </c>
      <c r="I41" s="83" t="inlineStr">
        <is>
          <t>Yes</t>
        </is>
      </c>
      <c r="J41" s="83" t="inlineStr">
        <is>
          <t>Non-Veg</t>
        </is>
      </c>
      <c r="K41" s="83" t="inlineStr">
        <is>
          <t>LOOP-IFS--6E5D</t>
        </is>
      </c>
      <c r="L41" s="83" t="inlineStr"/>
      <c r="M41" s="85" t="n"/>
      <c r="N41" s="85" t="n"/>
      <c r="O41" s="85" t="n"/>
      <c r="P41" s="85" t="n"/>
      <c r="Q41" s="85" t="n"/>
      <c r="R41" s="85" t="n"/>
      <c r="S41" s="85" t="n"/>
      <c r="T41" s="85" t="n"/>
      <c r="U41" s="85" t="n"/>
      <c r="V41" s="85" t="n"/>
      <c r="W41" s="85" t="n"/>
      <c r="X41" s="85" t="n"/>
      <c r="Y41" s="85" t="n"/>
      <c r="Z41" s="85" t="n"/>
    </row>
    <row r="42" ht="21.75" customHeight="1" s="108">
      <c r="A42" s="83" t="n">
        <v>13</v>
      </c>
      <c r="B42" s="91" t="inlineStr">
        <is>
          <t>IEEE Member</t>
        </is>
      </c>
      <c r="C42" s="83" t="inlineStr">
        <is>
          <t>Nethaka Siriwardena</t>
        </is>
      </c>
      <c r="D42" s="83" t="inlineStr">
        <is>
          <t>nethakasiriwardena@gmail.com</t>
        </is>
      </c>
      <c r="E42" s="83" t="inlineStr">
        <is>
          <t>+94777567090</t>
        </is>
      </c>
      <c r="F42" s="83" t="inlineStr">
        <is>
          <t>200332400312</t>
        </is>
      </c>
      <c r="G42" s="83" t="inlineStr">
        <is>
          <t>BSc (Hons) in Computer Science</t>
        </is>
      </c>
      <c r="H42" s="83" t="inlineStr">
        <is>
          <t>2nd Year</t>
        </is>
      </c>
      <c r="I42" s="83" t="inlineStr">
        <is>
          <t>Yes</t>
        </is>
      </c>
      <c r="J42" s="83" t="inlineStr">
        <is>
          <t>Non-Veg</t>
        </is>
      </c>
      <c r="K42" s="83" t="inlineStr">
        <is>
          <t>LOOP-IFS--AE24</t>
        </is>
      </c>
      <c r="L42" s="83" t="inlineStr"/>
      <c r="M42" s="85" t="n"/>
      <c r="N42" s="85" t="n"/>
      <c r="O42" s="85" t="n"/>
      <c r="P42" s="85" t="n"/>
      <c r="Q42" s="85" t="n"/>
      <c r="R42" s="85" t="n"/>
      <c r="S42" s="85" t="n"/>
      <c r="T42" s="85" t="n"/>
      <c r="U42" s="85" t="n"/>
      <c r="V42" s="85" t="n"/>
      <c r="W42" s="85" t="n"/>
      <c r="X42" s="85" t="n"/>
      <c r="Y42" s="85" t="n"/>
      <c r="Z42" s="85" t="n"/>
    </row>
    <row r="43" ht="21.75" customHeight="1" s="108">
      <c r="A43" s="83" t="n">
        <v>14</v>
      </c>
      <c r="B43" s="91" t="inlineStr">
        <is>
          <t>IEEE Member</t>
        </is>
      </c>
      <c r="C43" s="83" t="inlineStr">
        <is>
          <t>Matheesha Pansilu Wijesekera</t>
        </is>
      </c>
      <c r="D43" s="83" t="inlineStr">
        <is>
          <t>matheeshapansilu44@gmail.com</t>
        </is>
      </c>
      <c r="E43" s="83" t="inlineStr">
        <is>
          <t>+94775595824</t>
        </is>
      </c>
      <c r="F43" s="83" t="inlineStr">
        <is>
          <t>200516301825</t>
        </is>
      </c>
      <c r="G43" s="83" t="inlineStr">
        <is>
          <t>BSc (Hons) in Computer Systems Engineering (Curtin University)</t>
        </is>
      </c>
      <c r="H43" s="83" t="inlineStr">
        <is>
          <t>2nd Year</t>
        </is>
      </c>
      <c r="I43" s="83" t="inlineStr">
        <is>
          <t>Yes</t>
        </is>
      </c>
      <c r="J43" s="83" t="inlineStr">
        <is>
          <t>Non-Veg</t>
        </is>
      </c>
      <c r="K43" s="83" t="inlineStr">
        <is>
          <t>LOOP-IFS--2EEB</t>
        </is>
      </c>
      <c r="L43" s="83" t="inlineStr"/>
      <c r="M43" s="85" t="n"/>
      <c r="N43" s="85" t="n"/>
      <c r="O43" s="85" t="n"/>
      <c r="P43" s="85" t="n"/>
      <c r="Q43" s="85" t="n"/>
      <c r="R43" s="85" t="n"/>
      <c r="S43" s="85" t="n"/>
      <c r="T43" s="85" t="n"/>
      <c r="U43" s="85" t="n"/>
      <c r="V43" s="85" t="n"/>
      <c r="W43" s="85" t="n"/>
      <c r="X43" s="85" t="n"/>
      <c r="Y43" s="85" t="n"/>
      <c r="Z43" s="85" t="n"/>
    </row>
    <row r="44" ht="21.75" customHeight="1" s="108">
      <c r="A44" s="83" t="n">
        <v>15</v>
      </c>
      <c r="B44" s="91" t="inlineStr">
        <is>
          <t>IEEE Member</t>
        </is>
      </c>
      <c r="C44" s="83" t="inlineStr">
        <is>
          <t>Sugumar Sadurshan</t>
        </is>
      </c>
      <c r="D44" s="83" t="inlineStr">
        <is>
          <t>sugumarsadurshan@gmail.com</t>
        </is>
      </c>
      <c r="E44" s="83" t="inlineStr">
        <is>
          <t>0774788857</t>
        </is>
      </c>
      <c r="F44" s="83" t="inlineStr">
        <is>
          <t>200405210757</t>
        </is>
      </c>
      <c r="G44" s="83" t="inlineStr">
        <is>
          <t>BSc (Hons) in Computer Science</t>
        </is>
      </c>
      <c r="H44" s="83" t="inlineStr">
        <is>
          <t>2nd Year</t>
        </is>
      </c>
      <c r="I44" s="83" t="inlineStr">
        <is>
          <t>Yes</t>
        </is>
      </c>
      <c r="J44" s="83" t="inlineStr">
        <is>
          <t>Non-Veg</t>
        </is>
      </c>
      <c r="K44" s="83" t="inlineStr">
        <is>
          <t>LOOP-IFS--42DE</t>
        </is>
      </c>
      <c r="L44" s="83" t="inlineStr"/>
      <c r="M44" s="85" t="n"/>
      <c r="N44" s="85" t="n"/>
      <c r="O44" s="85" t="n"/>
      <c r="P44" s="85" t="n"/>
      <c r="Q44" s="85" t="n"/>
      <c r="R44" s="85" t="n"/>
      <c r="S44" s="85" t="n"/>
      <c r="T44" s="85" t="n"/>
      <c r="U44" s="85" t="n"/>
      <c r="V44" s="85" t="n"/>
      <c r="W44" s="85" t="n"/>
      <c r="X44" s="85" t="n"/>
      <c r="Y44" s="85" t="n"/>
      <c r="Z44" s="85" t="n"/>
    </row>
    <row r="45" ht="21.75" customHeight="1" s="108">
      <c r="A45" s="83" t="n">
        <v>16</v>
      </c>
      <c r="B45" s="91" t="inlineStr">
        <is>
          <t>IEEE Member</t>
        </is>
      </c>
      <c r="C45" s="83" t="inlineStr">
        <is>
          <t>Danishiyan G.J</t>
        </is>
      </c>
      <c r="D45" s="83" t="inlineStr">
        <is>
          <t>jeyakumardanishiyan2004@gmail.com</t>
        </is>
      </c>
      <c r="E45" s="83" t="inlineStr">
        <is>
          <t>94740637032</t>
        </is>
      </c>
      <c r="F45" s="83" t="inlineStr">
        <is>
          <t>20012102611</t>
        </is>
      </c>
      <c r="G45" s="83" t="inlineStr">
        <is>
          <t>BSc (Hons) in Information Technology - Artificial Intelligence</t>
        </is>
      </c>
      <c r="H45" s="83" t="inlineStr">
        <is>
          <t>2nd Year</t>
        </is>
      </c>
      <c r="I45" s="83" t="inlineStr">
        <is>
          <t>Yes</t>
        </is>
      </c>
      <c r="J45" s="83" t="inlineStr">
        <is>
          <t>Non-Veg</t>
        </is>
      </c>
      <c r="K45" s="83" t="inlineStr">
        <is>
          <t>LOOP-IFS--33D7</t>
        </is>
      </c>
      <c r="L45" s="83" t="inlineStr"/>
      <c r="M45" s="85" t="n"/>
      <c r="N45" s="85" t="n"/>
      <c r="O45" s="85" t="n"/>
      <c r="P45" s="85" t="n"/>
      <c r="Q45" s="85" t="n"/>
      <c r="R45" s="85" t="n"/>
      <c r="S45" s="85" t="n"/>
      <c r="T45" s="85" t="n"/>
      <c r="U45" s="85" t="n"/>
      <c r="V45" s="85" t="n"/>
      <c r="W45" s="85" t="n"/>
      <c r="X45" s="85" t="n"/>
      <c r="Y45" s="85" t="n"/>
      <c r="Z45" s="85" t="n"/>
    </row>
    <row r="46" ht="21.75" customHeight="1" s="108">
      <c r="A46" s="83" t="n">
        <v>17</v>
      </c>
      <c r="B46" s="91" t="inlineStr">
        <is>
          <t>IEEE Member</t>
        </is>
      </c>
      <c r="C46" s="83" t="inlineStr">
        <is>
          <t>I.D Pasindu Ashen</t>
        </is>
      </c>
      <c r="D46" s="83" t="inlineStr">
        <is>
          <t>it24610781@my.sliit.lk</t>
        </is>
      </c>
      <c r="E46" s="83" t="inlineStr">
        <is>
          <t>+94766400796</t>
        </is>
      </c>
      <c r="F46" s="83" t="inlineStr">
        <is>
          <t>200211600020</t>
        </is>
      </c>
      <c r="G46" s="83" t="inlineStr">
        <is>
          <t>BSc (Hons) in Computer Science</t>
        </is>
      </c>
      <c r="H46" s="83" t="inlineStr">
        <is>
          <t>3rd Year</t>
        </is>
      </c>
      <c r="I46" s="83" t="inlineStr">
        <is>
          <t>Yes</t>
        </is>
      </c>
      <c r="J46" s="83" t="inlineStr">
        <is>
          <t>Non-Veg</t>
        </is>
      </c>
      <c r="K46" s="83" t="inlineStr">
        <is>
          <t>LOOP-IFS--C069</t>
        </is>
      </c>
      <c r="L46" s="83" t="inlineStr"/>
      <c r="M46" s="85" t="n"/>
      <c r="N46" s="85" t="n"/>
      <c r="O46" s="85" t="n"/>
      <c r="P46" s="85" t="n"/>
      <c r="Q46" s="85" t="n"/>
      <c r="R46" s="85" t="n"/>
      <c r="S46" s="85" t="n"/>
      <c r="T46" s="85" t="n"/>
      <c r="U46" s="85" t="n"/>
      <c r="V46" s="85" t="n"/>
      <c r="W46" s="85" t="n"/>
      <c r="X46" s="85" t="n"/>
      <c r="Y46" s="85" t="n"/>
      <c r="Z46" s="85" t="n"/>
    </row>
    <row r="47" ht="21.75" customHeight="1" s="108">
      <c r="A47" s="83" t="n">
        <v>18</v>
      </c>
      <c r="B47" s="91" t="inlineStr">
        <is>
          <t>IEEE Member</t>
        </is>
      </c>
      <c r="C47" s="83" t="inlineStr">
        <is>
          <t>Abdullah Alhar</t>
        </is>
      </c>
      <c r="D47" s="83" t="inlineStr">
        <is>
          <t>abdullahbinalhar@gmail.com</t>
        </is>
      </c>
      <c r="E47" s="83" t="inlineStr">
        <is>
          <t>+94740670876</t>
        </is>
      </c>
      <c r="F47" s="83" t="inlineStr">
        <is>
          <t>200507902450</t>
        </is>
      </c>
      <c r="G47" s="83" t="inlineStr">
        <is>
          <t>BSc (Hons) in Software Engineering</t>
        </is>
      </c>
      <c r="H47" s="83" t="inlineStr">
        <is>
          <t>2nd Year</t>
        </is>
      </c>
      <c r="I47" s="83" t="inlineStr">
        <is>
          <t>Yes</t>
        </is>
      </c>
      <c r="J47" s="83" t="inlineStr">
        <is>
          <t>Non-Veg</t>
        </is>
      </c>
      <c r="K47" s="83" t="inlineStr">
        <is>
          <t>LOOP-IFS--9F22</t>
        </is>
      </c>
      <c r="L47" s="83" t="inlineStr"/>
      <c r="M47" s="85" t="n"/>
      <c r="N47" s="85" t="n"/>
      <c r="O47" s="85" t="n"/>
      <c r="P47" s="85" t="n"/>
      <c r="Q47" s="85" t="n"/>
      <c r="R47" s="85" t="n"/>
      <c r="S47" s="85" t="n"/>
      <c r="T47" s="85" t="n"/>
      <c r="U47" s="85" t="n"/>
      <c r="V47" s="85" t="n"/>
      <c r="W47" s="85" t="n"/>
      <c r="X47" s="85" t="n"/>
      <c r="Y47" s="85" t="n"/>
      <c r="Z47" s="85" t="n"/>
    </row>
    <row r="48" ht="21.75" customHeight="1" s="108">
      <c r="A48" s="83" t="n">
        <v>19</v>
      </c>
      <c r="B48" s="91" t="inlineStr">
        <is>
          <t>IEEE Member</t>
        </is>
      </c>
      <c r="C48" s="83" t="inlineStr">
        <is>
          <t>Gauravi Bandara</t>
        </is>
      </c>
      <c r="D48" s="83" t="inlineStr">
        <is>
          <t>it24104321@my.sliit.lk</t>
        </is>
      </c>
      <c r="E48" s="83" t="inlineStr">
        <is>
          <t>0717374272</t>
        </is>
      </c>
      <c r="F48" s="83" t="inlineStr">
        <is>
          <t>200483201823</t>
        </is>
      </c>
      <c r="G48" s="83" t="inlineStr">
        <is>
          <t>Other SLIIT Degree Program</t>
        </is>
      </c>
      <c r="H48" s="83" t="inlineStr">
        <is>
          <t>3rd Year</t>
        </is>
      </c>
      <c r="I48" s="83" t="inlineStr">
        <is>
          <t>Yes</t>
        </is>
      </c>
      <c r="J48" s="83" t="inlineStr">
        <is>
          <t>Non-Veg</t>
        </is>
      </c>
      <c r="K48" s="83" t="inlineStr">
        <is>
          <t>LOOP-IFS--723F</t>
        </is>
      </c>
      <c r="L48" s="83" t="inlineStr"/>
      <c r="M48" s="85" t="n"/>
      <c r="N48" s="85" t="n"/>
      <c r="O48" s="85" t="n"/>
      <c r="P48" s="85" t="n"/>
      <c r="Q48" s="85" t="n"/>
      <c r="R48" s="85" t="n"/>
      <c r="S48" s="85" t="n"/>
      <c r="T48" s="85" t="n"/>
      <c r="U48" s="85" t="n"/>
      <c r="V48" s="85" t="n"/>
      <c r="W48" s="85" t="n"/>
      <c r="X48" s="85" t="n"/>
      <c r="Y48" s="85" t="n"/>
      <c r="Z48" s="85" t="n"/>
    </row>
    <row r="49" ht="21.75" customHeight="1" s="108">
      <c r="A49" s="83" t="n">
        <v>20</v>
      </c>
      <c r="B49" s="91" t="inlineStr">
        <is>
          <t>IEEE Member</t>
        </is>
      </c>
      <c r="C49" s="83" t="inlineStr">
        <is>
          <t>Inuka Methum</t>
        </is>
      </c>
      <c r="D49" s="83" t="inlineStr">
        <is>
          <t>inukamethum@gmail.com</t>
        </is>
      </c>
      <c r="E49" s="83" t="inlineStr">
        <is>
          <t>0742326086</t>
        </is>
      </c>
      <c r="F49" s="83" t="inlineStr">
        <is>
          <t>200504702057</t>
        </is>
      </c>
      <c r="G49" s="83" t="inlineStr">
        <is>
          <t>BSc (Hons) in Computer Science</t>
        </is>
      </c>
      <c r="H49" s="83" t="inlineStr">
        <is>
          <t>2nd Year</t>
        </is>
      </c>
      <c r="I49" s="83" t="inlineStr">
        <is>
          <t>Yes</t>
        </is>
      </c>
      <c r="J49" s="83" t="inlineStr">
        <is>
          <t>Non-Veg</t>
        </is>
      </c>
      <c r="K49" s="83" t="inlineStr">
        <is>
          <t>LOOP-IFS--754B</t>
        </is>
      </c>
      <c r="L49" s="83" t="inlineStr"/>
      <c r="M49" s="85" t="n"/>
      <c r="N49" s="85" t="n"/>
      <c r="O49" s="85" t="n"/>
      <c r="P49" s="85" t="n"/>
      <c r="Q49" s="85" t="n"/>
      <c r="R49" s="85" t="n"/>
      <c r="S49" s="85" t="n"/>
      <c r="T49" s="85" t="n"/>
      <c r="U49" s="85" t="n"/>
      <c r="V49" s="85" t="n"/>
      <c r="W49" s="85" t="n"/>
      <c r="X49" s="85" t="n"/>
      <c r="Y49" s="85" t="n"/>
      <c r="Z49" s="85" t="n"/>
    </row>
    <row r="50" ht="21.75" customHeight="1" s="108">
      <c r="A50" s="83" t="n">
        <v>21</v>
      </c>
      <c r="B50" s="91" t="inlineStr">
        <is>
          <t>IEEE Member</t>
        </is>
      </c>
      <c r="C50" s="83" t="inlineStr">
        <is>
          <t>Laksri Senura</t>
        </is>
      </c>
      <c r="D50" s="83" t="inlineStr">
        <is>
          <t>laksrisenura@gmail.com</t>
        </is>
      </c>
      <c r="E50" s="83" t="inlineStr">
        <is>
          <t>+94770157283</t>
        </is>
      </c>
      <c r="F50" s="83" t="inlineStr">
        <is>
          <t>200515501368</t>
        </is>
      </c>
      <c r="G50" s="83" t="inlineStr">
        <is>
          <t>BSc in Information Technology (General)</t>
        </is>
      </c>
      <c r="H50" s="83" t="inlineStr">
        <is>
          <t>2nd Year</t>
        </is>
      </c>
      <c r="I50" s="83" t="inlineStr">
        <is>
          <t>Yes</t>
        </is>
      </c>
      <c r="J50" s="83" t="inlineStr">
        <is>
          <t>Non-Veg</t>
        </is>
      </c>
      <c r="K50" s="83" t="inlineStr">
        <is>
          <t>LOOP-IFS--B1A6</t>
        </is>
      </c>
      <c r="L50" s="83" t="inlineStr"/>
      <c r="M50" s="85" t="n"/>
      <c r="N50" s="85" t="n"/>
      <c r="O50" s="85" t="n"/>
      <c r="P50" s="85" t="n"/>
      <c r="Q50" s="85" t="n"/>
      <c r="R50" s="85" t="n"/>
      <c r="S50" s="85" t="n"/>
      <c r="T50" s="85" t="n"/>
      <c r="U50" s="85" t="n"/>
      <c r="V50" s="85" t="n"/>
      <c r="W50" s="85" t="n"/>
      <c r="X50" s="85" t="n"/>
      <c r="Y50" s="85" t="n"/>
      <c r="Z50" s="85" t="n"/>
    </row>
    <row r="51" ht="21.75" customHeight="1" s="108">
      <c r="A51" s="83" t="n">
        <v>22</v>
      </c>
      <c r="B51" s="91" t="inlineStr">
        <is>
          <t>IEEE Member</t>
        </is>
      </c>
      <c r="C51" s="83" t="inlineStr">
        <is>
          <t>Dohan Imanjith</t>
        </is>
      </c>
      <c r="D51" s="83" t="inlineStr">
        <is>
          <t>dohanimanjith21@gmail.com</t>
        </is>
      </c>
      <c r="E51" s="83" t="inlineStr">
        <is>
          <t>+94712914818</t>
        </is>
      </c>
      <c r="F51" s="83" t="inlineStr">
        <is>
          <t>200531801223</t>
        </is>
      </c>
      <c r="G51" s="83" t="inlineStr">
        <is>
          <t>BSc (Hons) in Information Technology - Cyber Security</t>
        </is>
      </c>
      <c r="H51" s="83" t="inlineStr">
        <is>
          <t>2nd Year</t>
        </is>
      </c>
      <c r="I51" s="83" t="inlineStr">
        <is>
          <t>Yes</t>
        </is>
      </c>
      <c r="J51" s="83" t="inlineStr">
        <is>
          <t>Non-Veg</t>
        </is>
      </c>
      <c r="K51" s="83" t="inlineStr">
        <is>
          <t>LOOP-IFS--5B6D</t>
        </is>
      </c>
      <c r="L51" s="83" t="inlineStr"/>
      <c r="M51" s="85" t="n"/>
      <c r="N51" s="85" t="n"/>
      <c r="O51" s="85" t="n"/>
      <c r="P51" s="85" t="n"/>
      <c r="Q51" s="85" t="n"/>
      <c r="R51" s="85" t="n"/>
      <c r="S51" s="85" t="n"/>
      <c r="T51" s="85" t="n"/>
      <c r="U51" s="85" t="n"/>
      <c r="V51" s="85" t="n"/>
      <c r="W51" s="85" t="n"/>
      <c r="X51" s="85" t="n"/>
      <c r="Y51" s="85" t="n"/>
      <c r="Z51" s="85" t="n"/>
    </row>
    <row r="52" ht="21.75" customHeight="1" s="108">
      <c r="A52" s="83" t="n">
        <v>23</v>
      </c>
      <c r="B52" s="91" t="inlineStr">
        <is>
          <t>IEEE Member</t>
        </is>
      </c>
      <c r="C52" s="83" t="inlineStr">
        <is>
          <t>Sahnas Thufail</t>
        </is>
      </c>
      <c r="D52" s="83" t="inlineStr">
        <is>
          <t>sahnasthufail@gmail.com</t>
        </is>
      </c>
      <c r="E52" s="83" t="inlineStr">
        <is>
          <t>0716633585</t>
        </is>
      </c>
      <c r="F52" s="83" t="inlineStr">
        <is>
          <t>200284603184</t>
        </is>
      </c>
      <c r="G52" s="83" t="inlineStr">
        <is>
          <t>BSc (Hons) in Software Engineering</t>
        </is>
      </c>
      <c r="H52" s="83" t="inlineStr">
        <is>
          <t>3rd Year</t>
        </is>
      </c>
      <c r="I52" s="83" t="inlineStr">
        <is>
          <t>Yes</t>
        </is>
      </c>
      <c r="J52" s="83" t="inlineStr">
        <is>
          <t>Non-Veg</t>
        </is>
      </c>
      <c r="K52" s="83" t="inlineStr">
        <is>
          <t>LOOP-IFS--880C</t>
        </is>
      </c>
      <c r="L52" s="83" t="inlineStr"/>
      <c r="M52" s="85" t="n"/>
      <c r="N52" s="85" t="n"/>
      <c r="O52" s="85" t="n"/>
      <c r="P52" s="85" t="n"/>
      <c r="Q52" s="85" t="n"/>
      <c r="R52" s="85" t="n"/>
      <c r="S52" s="85" t="n"/>
      <c r="T52" s="85" t="n"/>
      <c r="U52" s="85" t="n"/>
      <c r="V52" s="85" t="n"/>
      <c r="W52" s="85" t="n"/>
      <c r="X52" s="85" t="n"/>
      <c r="Y52" s="85" t="n"/>
      <c r="Z52" s="85" t="n"/>
    </row>
    <row r="53" ht="21.75" customHeight="1" s="108">
      <c r="A53" s="83" t="n">
        <v>25</v>
      </c>
      <c r="B53" s="92" t="inlineStr">
        <is>
          <t>CyberShield Vol + IEEE Member</t>
        </is>
      </c>
      <c r="C53" s="83" t="inlineStr">
        <is>
          <t>Buddhima Sandaru</t>
        </is>
      </c>
      <c r="D53" s="83" t="inlineStr">
        <is>
          <t>buddhimasandaru@gmail.com</t>
        </is>
      </c>
      <c r="E53" s="83" t="inlineStr">
        <is>
          <t>+94768575359</t>
        </is>
      </c>
      <c r="F53" s="83" t="inlineStr">
        <is>
          <t>20040211282</t>
        </is>
      </c>
      <c r="G53" s="83" t="inlineStr">
        <is>
          <t>BSc (Hons) in Software Engineering</t>
        </is>
      </c>
      <c r="H53" s="83" t="inlineStr">
        <is>
          <t>2nd Year</t>
        </is>
      </c>
      <c r="I53" s="83" t="inlineStr">
        <is>
          <t>Yes</t>
        </is>
      </c>
      <c r="J53" s="83" t="inlineStr">
        <is>
          <t>Non-Veg</t>
        </is>
      </c>
      <c r="K53" s="83" t="inlineStr">
        <is>
          <t>LOOP-IFS--C5C7</t>
        </is>
      </c>
      <c r="L53" s="83" t="inlineStr"/>
      <c r="M53" s="85" t="n"/>
      <c r="N53" s="85" t="n"/>
      <c r="O53" s="85" t="n"/>
      <c r="P53" s="85" t="n"/>
      <c r="Q53" s="85" t="n"/>
      <c r="R53" s="85" t="n"/>
      <c r="S53" s="85" t="n"/>
      <c r="T53" s="85" t="n"/>
      <c r="U53" s="85" t="n"/>
      <c r="V53" s="85" t="n"/>
      <c r="W53" s="85" t="n"/>
      <c r="X53" s="85" t="n"/>
      <c r="Y53" s="85" t="n"/>
      <c r="Z53" s="85" t="n"/>
    </row>
    <row r="54" ht="21.75" customHeight="1" s="108">
      <c r="A54" s="83" t="n">
        <v>26</v>
      </c>
      <c r="B54" s="91" t="inlineStr">
        <is>
          <t>IEEE Member</t>
        </is>
      </c>
      <c r="C54" s="83" t="inlineStr">
        <is>
          <t>Ashan Induranga</t>
        </is>
      </c>
      <c r="D54" s="83" t="inlineStr">
        <is>
          <t>ashanvfx@gmail.com</t>
        </is>
      </c>
      <c r="E54" s="83" t="inlineStr">
        <is>
          <t>0771950818</t>
        </is>
      </c>
      <c r="F54" s="83" t="inlineStr">
        <is>
          <t>200405812728</t>
        </is>
      </c>
      <c r="G54" s="83" t="inlineStr">
        <is>
          <t>Other SLIIT Degree Program</t>
        </is>
      </c>
      <c r="H54" s="83" t="inlineStr">
        <is>
          <t>3rd Year</t>
        </is>
      </c>
      <c r="I54" s="83" t="inlineStr">
        <is>
          <t>Yes</t>
        </is>
      </c>
      <c r="J54" s="83" t="inlineStr">
        <is>
          <t>Non-Veg</t>
        </is>
      </c>
      <c r="K54" s="83" t="inlineStr">
        <is>
          <t>LOOP-IFS--5DDC</t>
        </is>
      </c>
      <c r="L54" s="83" t="inlineStr"/>
      <c r="M54" s="85" t="n"/>
      <c r="N54" s="85" t="n"/>
      <c r="O54" s="85" t="n"/>
      <c r="P54" s="85" t="n"/>
      <c r="Q54" s="85" t="n"/>
      <c r="R54" s="85" t="n"/>
      <c r="S54" s="85" t="n"/>
      <c r="T54" s="85" t="n"/>
      <c r="U54" s="85" t="n"/>
      <c r="V54" s="85" t="n"/>
      <c r="W54" s="85" t="n"/>
      <c r="X54" s="85" t="n"/>
      <c r="Y54" s="85" t="n"/>
      <c r="Z54" s="85" t="n"/>
    </row>
    <row r="55" ht="21.75" customHeight="1" s="108">
      <c r="A55" s="83" t="n">
        <v>27</v>
      </c>
      <c r="B55" s="92" t="inlineStr">
        <is>
          <t>CyberShield Vol + IEEE Member</t>
        </is>
      </c>
      <c r="C55" s="83" t="inlineStr">
        <is>
          <t>G.K.Sedara Ransiluni</t>
        </is>
      </c>
      <c r="D55" s="83" t="inlineStr">
        <is>
          <t>sedararansiluni01@gmail.com</t>
        </is>
      </c>
      <c r="E55" s="83" t="inlineStr">
        <is>
          <t>0702595383</t>
        </is>
      </c>
      <c r="F55" s="83" t="inlineStr">
        <is>
          <t>200471200476</t>
        </is>
      </c>
      <c r="G55" s="83" t="inlineStr">
        <is>
          <t>BSc (Hons) in Information Technology - Cyber Security</t>
        </is>
      </c>
      <c r="H55" s="83" t="inlineStr">
        <is>
          <t>3rd Year</t>
        </is>
      </c>
      <c r="I55" s="83" t="inlineStr">
        <is>
          <t>Yes</t>
        </is>
      </c>
      <c r="J55" s="83" t="inlineStr">
        <is>
          <t>Non-Veg</t>
        </is>
      </c>
      <c r="K55" s="83" t="inlineStr">
        <is>
          <t>LOOP-IFS--9303</t>
        </is>
      </c>
      <c r="L55" s="83" t="inlineStr"/>
      <c r="M55" s="85" t="n"/>
      <c r="N55" s="85" t="n"/>
      <c r="O55" s="85" t="n"/>
      <c r="P55" s="85" t="n"/>
      <c r="Q55" s="85" t="n"/>
      <c r="R55" s="85" t="n"/>
      <c r="S55" s="85" t="n"/>
      <c r="T55" s="85" t="n"/>
      <c r="U55" s="85" t="n"/>
      <c r="V55" s="85" t="n"/>
      <c r="W55" s="85" t="n"/>
      <c r="X55" s="85" t="n"/>
      <c r="Y55" s="85" t="n"/>
      <c r="Z55" s="85" t="n"/>
    </row>
    <row r="56" ht="21.75" customHeight="1" s="108">
      <c r="A56" s="83" t="n">
        <v>37</v>
      </c>
      <c r="B56" s="91" t="inlineStr">
        <is>
          <t>IEEE Member</t>
        </is>
      </c>
      <c r="C56" s="83" t="inlineStr">
        <is>
          <t>Amashi Jayawardhana</t>
        </is>
      </c>
      <c r="D56" s="83" t="inlineStr">
        <is>
          <t>amashithathsarani025@gmail.com</t>
        </is>
      </c>
      <c r="E56" s="83" t="inlineStr">
        <is>
          <t>+94774869219</t>
        </is>
      </c>
      <c r="F56" s="83" t="inlineStr">
        <is>
          <t>200367811759</t>
        </is>
      </c>
      <c r="G56" s="83" t="inlineStr">
        <is>
          <t>BSc (Hons) in Software Engineering</t>
        </is>
      </c>
      <c r="H56" s="83" t="inlineStr">
        <is>
          <t>3rd Year</t>
        </is>
      </c>
      <c r="I56" s="83" t="inlineStr">
        <is>
          <t>Yes</t>
        </is>
      </c>
      <c r="J56" s="83" t="inlineStr">
        <is>
          <t>Non-Veg</t>
        </is>
      </c>
      <c r="K56" s="83" t="inlineStr">
        <is>
          <t>LOOP-IFS--3AC7</t>
        </is>
      </c>
      <c r="L56" s="83" t="inlineStr"/>
      <c r="M56" s="85" t="n"/>
      <c r="N56" s="85" t="n"/>
      <c r="O56" s="85" t="n"/>
      <c r="P56" s="85" t="n"/>
      <c r="Q56" s="85" t="n"/>
      <c r="R56" s="85" t="n"/>
      <c r="S56" s="85" t="n"/>
      <c r="T56" s="85" t="n"/>
      <c r="U56" s="85" t="n"/>
      <c r="V56" s="85" t="n"/>
      <c r="W56" s="85" t="n"/>
      <c r="X56" s="85" t="n"/>
      <c r="Y56" s="85" t="n"/>
      <c r="Z56" s="85" t="n"/>
    </row>
    <row r="57" ht="21.75" customHeight="1" s="108">
      <c r="A57" s="83" t="n">
        <v>41</v>
      </c>
      <c r="B57" s="91" t="inlineStr">
        <is>
          <t>IEEE Member</t>
        </is>
      </c>
      <c r="C57" s="83" t="inlineStr">
        <is>
          <t>Themini Obeysekara</t>
        </is>
      </c>
      <c r="D57" s="83" t="inlineStr">
        <is>
          <t>theminipiyanma@gmail.com</t>
        </is>
      </c>
      <c r="E57" s="83" t="inlineStr">
        <is>
          <t>0702677320</t>
        </is>
      </c>
      <c r="F57" s="83" t="inlineStr">
        <is>
          <t>200373900408</t>
        </is>
      </c>
      <c r="G57" s="83" t="inlineStr">
        <is>
          <t>BSc (Hons) in Computer Systems Engineering (Curtin University)</t>
        </is>
      </c>
      <c r="H57" s="83" t="inlineStr">
        <is>
          <t>3rd Year</t>
        </is>
      </c>
      <c r="I57" s="83" t="inlineStr">
        <is>
          <t>Yes</t>
        </is>
      </c>
      <c r="J57" s="83" t="inlineStr">
        <is>
          <t>Non-Veg</t>
        </is>
      </c>
      <c r="K57" s="83" t="inlineStr">
        <is>
          <t>LOOP-IFS--F7A3</t>
        </is>
      </c>
      <c r="L57" s="83" t="inlineStr"/>
      <c r="M57" s="85" t="n"/>
      <c r="N57" s="85" t="n"/>
      <c r="O57" s="85" t="n"/>
      <c r="P57" s="85" t="n"/>
      <c r="Q57" s="85" t="n"/>
      <c r="R57" s="85" t="n"/>
      <c r="S57" s="85" t="n"/>
      <c r="T57" s="85" t="n"/>
      <c r="U57" s="85" t="n"/>
      <c r="V57" s="85" t="n"/>
      <c r="W57" s="85" t="n"/>
      <c r="X57" s="85" t="n"/>
      <c r="Y57" s="85" t="n"/>
      <c r="Z57" s="85" t="n"/>
    </row>
    <row r="58" ht="21.75" customHeight="1" s="108">
      <c r="A58" s="83" t="n">
        <v>44</v>
      </c>
      <c r="B58" s="91" t="inlineStr">
        <is>
          <t>IEEE Member</t>
        </is>
      </c>
      <c r="C58" s="83" t="inlineStr">
        <is>
          <t>Komuthu Perera</t>
        </is>
      </c>
      <c r="D58" s="83" t="inlineStr">
        <is>
          <t>en25300563@my.sliit.lk</t>
        </is>
      </c>
      <c r="E58" s="83" t="inlineStr">
        <is>
          <t>+94743914482</t>
        </is>
      </c>
      <c r="F58" s="83" t="inlineStr">
        <is>
          <t>200462601300</t>
        </is>
      </c>
      <c r="G58" s="83" t="inlineStr">
        <is>
          <t>BSc Engineering (Hons) in Materials Engineering</t>
        </is>
      </c>
      <c r="H58" s="83" t="inlineStr">
        <is>
          <t>2nd Year</t>
        </is>
      </c>
      <c r="I58" s="83" t="inlineStr">
        <is>
          <t>Yes</t>
        </is>
      </c>
      <c r="J58" s="83" t="inlineStr">
        <is>
          <t>Non-Veg</t>
        </is>
      </c>
      <c r="K58" s="83" t="inlineStr">
        <is>
          <t>LOOP-IFS--60D1</t>
        </is>
      </c>
      <c r="L58" s="83" t="inlineStr"/>
      <c r="M58" s="85" t="n"/>
      <c r="N58" s="85" t="n"/>
      <c r="O58" s="85" t="n"/>
      <c r="P58" s="85" t="n"/>
      <c r="Q58" s="85" t="n"/>
      <c r="R58" s="85" t="n"/>
      <c r="S58" s="85" t="n"/>
      <c r="T58" s="85" t="n"/>
      <c r="U58" s="85" t="n"/>
      <c r="V58" s="85" t="n"/>
      <c r="W58" s="85" t="n"/>
      <c r="X58" s="85" t="n"/>
      <c r="Y58" s="85" t="n"/>
      <c r="Z58" s="85" t="n"/>
    </row>
    <row r="59" ht="21.75" customHeight="1" s="108">
      <c r="A59" s="83" t="n">
        <v>46</v>
      </c>
      <c r="B59" s="91" t="inlineStr">
        <is>
          <t>IEEE Member</t>
        </is>
      </c>
      <c r="C59" s="83" t="inlineStr">
        <is>
          <t>Vishaka Rajapaksha</t>
        </is>
      </c>
      <c r="D59" s="83" t="inlineStr">
        <is>
          <t>vishakarajapaksha97@gmail.com</t>
        </is>
      </c>
      <c r="E59" s="83" t="inlineStr">
        <is>
          <t>0743609962</t>
        </is>
      </c>
      <c r="F59" s="83" t="inlineStr">
        <is>
          <t>200579900428</t>
        </is>
      </c>
      <c r="G59" s="83" t="inlineStr">
        <is>
          <t>BSc (Hons) in Computer Science</t>
        </is>
      </c>
      <c r="H59" s="83" t="inlineStr">
        <is>
          <t>3rd Year</t>
        </is>
      </c>
      <c r="I59" s="83" t="inlineStr">
        <is>
          <t>Yes</t>
        </is>
      </c>
      <c r="J59" s="83" t="inlineStr">
        <is>
          <t>Non-Veg</t>
        </is>
      </c>
      <c r="K59" s="83" t="inlineStr">
        <is>
          <t>LOOP-IFS--0843</t>
        </is>
      </c>
      <c r="L59" s="83" t="inlineStr"/>
      <c r="M59" s="85" t="n"/>
      <c r="N59" s="85" t="n"/>
      <c r="O59" s="85" t="n"/>
      <c r="P59" s="85" t="n"/>
      <c r="Q59" s="85" t="n"/>
      <c r="R59" s="85" t="n"/>
      <c r="S59" s="85" t="n"/>
      <c r="T59" s="85" t="n"/>
      <c r="U59" s="85" t="n"/>
      <c r="V59" s="85" t="n"/>
      <c r="W59" s="85" t="n"/>
      <c r="X59" s="85" t="n"/>
      <c r="Y59" s="85" t="n"/>
      <c r="Z59" s="85" t="n"/>
    </row>
    <row r="60" ht="21.75" customHeight="1" s="108">
      <c r="A60" s="83" t="n">
        <v>47</v>
      </c>
      <c r="B60" s="91" t="inlineStr">
        <is>
          <t>IEEE Member</t>
        </is>
      </c>
      <c r="C60" s="83" t="inlineStr">
        <is>
          <t>Tharindu Wijerathna</t>
        </is>
      </c>
      <c r="D60" s="83" t="inlineStr">
        <is>
          <t>wijerathna.dev.2004@gmail.com</t>
        </is>
      </c>
      <c r="E60" s="83" t="inlineStr">
        <is>
          <t>+94740976916</t>
        </is>
      </c>
      <c r="F60" s="83" t="inlineStr">
        <is>
          <t>200420803939</t>
        </is>
      </c>
      <c r="G60" s="83" t="inlineStr">
        <is>
          <t>BSc (Hons) in Information Technology - Artificial Intelligence</t>
        </is>
      </c>
      <c r="H60" s="83" t="inlineStr">
        <is>
          <t>2nd Year</t>
        </is>
      </c>
      <c r="I60" s="83" t="inlineStr">
        <is>
          <t>Yes</t>
        </is>
      </c>
      <c r="J60" s="83" t="inlineStr">
        <is>
          <t>Non-Veg</t>
        </is>
      </c>
      <c r="K60" s="83" t="inlineStr">
        <is>
          <t>LOOP-IFS--A506</t>
        </is>
      </c>
      <c r="L60" s="83" t="inlineStr"/>
      <c r="M60" s="85" t="n"/>
      <c r="N60" s="85" t="n"/>
      <c r="O60" s="85" t="n"/>
      <c r="P60" s="85" t="n"/>
      <c r="Q60" s="85" t="n"/>
      <c r="R60" s="85" t="n"/>
      <c r="S60" s="85" t="n"/>
      <c r="T60" s="85" t="n"/>
      <c r="U60" s="85" t="n"/>
      <c r="V60" s="85" t="n"/>
      <c r="W60" s="85" t="n"/>
      <c r="X60" s="85" t="n"/>
      <c r="Y60" s="85" t="n"/>
      <c r="Z60" s="85" t="n"/>
    </row>
    <row r="61" ht="21.75" customHeight="1" s="108">
      <c r="A61" s="83" t="n">
        <v>50</v>
      </c>
      <c r="B61" s="92" t="inlineStr">
        <is>
          <t>CyberShield Vol + IEEE Member</t>
        </is>
      </c>
      <c r="C61" s="83" t="inlineStr">
        <is>
          <t>Isuru Udana Pinthu</t>
        </is>
      </c>
      <c r="D61" s="83" t="inlineStr">
        <is>
          <t>isuruudanapinthu@gmail.com</t>
        </is>
      </c>
      <c r="E61" s="83" t="inlineStr">
        <is>
          <t>0705339022</t>
        </is>
      </c>
      <c r="F61" s="83" t="inlineStr">
        <is>
          <t>200311401180</t>
        </is>
      </c>
      <c r="G61" s="83" t="inlineStr">
        <is>
          <t>BSc (Hons) in Information Technology - Cyber Security</t>
        </is>
      </c>
      <c r="H61" s="83" t="inlineStr">
        <is>
          <t>3rd Year</t>
        </is>
      </c>
      <c r="I61" s="83" t="inlineStr">
        <is>
          <t>Yes</t>
        </is>
      </c>
      <c r="J61" s="83" t="inlineStr">
        <is>
          <t>Non-Veg</t>
        </is>
      </c>
      <c r="K61" s="83" t="inlineStr">
        <is>
          <t>LOOP-IFS--D0EA</t>
        </is>
      </c>
      <c r="L61" s="83" t="inlineStr"/>
      <c r="M61" s="85" t="n"/>
      <c r="N61" s="85" t="n"/>
      <c r="O61" s="85" t="n"/>
      <c r="P61" s="85" t="n"/>
      <c r="Q61" s="85" t="n"/>
      <c r="R61" s="85" t="n"/>
      <c r="S61" s="85" t="n"/>
      <c r="T61" s="85" t="n"/>
      <c r="U61" s="85" t="n"/>
      <c r="V61" s="85" t="n"/>
      <c r="W61" s="85" t="n"/>
      <c r="X61" s="85" t="n"/>
      <c r="Y61" s="85" t="n"/>
      <c r="Z61" s="85" t="n"/>
    </row>
    <row r="62" ht="21.75" customHeight="1" s="108">
      <c r="A62" s="83" t="n">
        <v>51</v>
      </c>
      <c r="B62" s="91" t="inlineStr">
        <is>
          <t>IEEE Member</t>
        </is>
      </c>
      <c r="C62" s="83" t="inlineStr">
        <is>
          <t>Anantharuban Ashvithan</t>
        </is>
      </c>
      <c r="D62" s="83" t="inlineStr">
        <is>
          <t>ashvithan9@gmail.com</t>
        </is>
      </c>
      <c r="E62" s="83" t="inlineStr">
        <is>
          <t>0767611627</t>
        </is>
      </c>
      <c r="F62" s="83" t="inlineStr">
        <is>
          <t>200420901109</t>
        </is>
      </c>
      <c r="G62" s="83" t="inlineStr">
        <is>
          <t>BSc (Hons) in Software Engineering</t>
        </is>
      </c>
      <c r="H62" s="83" t="inlineStr">
        <is>
          <t>2nd Year</t>
        </is>
      </c>
      <c r="I62" s="83" t="inlineStr">
        <is>
          <t>Yes</t>
        </is>
      </c>
      <c r="J62" s="83" t="inlineStr">
        <is>
          <t>Non-Veg</t>
        </is>
      </c>
      <c r="K62" s="83" t="inlineStr">
        <is>
          <t>LOOP-IFS--3FA8</t>
        </is>
      </c>
      <c r="L62" s="83" t="inlineStr"/>
      <c r="M62" s="85" t="n"/>
      <c r="N62" s="85" t="n"/>
      <c r="O62" s="85" t="n"/>
      <c r="P62" s="85" t="n"/>
      <c r="Q62" s="85" t="n"/>
      <c r="R62" s="85" t="n"/>
      <c r="S62" s="85" t="n"/>
      <c r="T62" s="85" t="n"/>
      <c r="U62" s="85" t="n"/>
      <c r="V62" s="85" t="n"/>
      <c r="W62" s="85" t="n"/>
      <c r="X62" s="85" t="n"/>
      <c r="Y62" s="85" t="n"/>
      <c r="Z62" s="85" t="n"/>
    </row>
    <row r="63" ht="21.75" customHeight="1" s="108">
      <c r="A63" s="83" t="n">
        <v>52</v>
      </c>
      <c r="B63" s="91" t="inlineStr">
        <is>
          <t>IEEE Member</t>
        </is>
      </c>
      <c r="C63" s="83" t="inlineStr">
        <is>
          <t>Umesan Sathananthan</t>
        </is>
      </c>
      <c r="D63" s="83" t="inlineStr">
        <is>
          <t>it24100781@my.sliit.lk</t>
        </is>
      </c>
      <c r="E63" s="83" t="inlineStr">
        <is>
          <t>0770575637</t>
        </is>
      </c>
      <c r="F63" s="83" t="inlineStr">
        <is>
          <t>200302600134</t>
        </is>
      </c>
      <c r="G63" s="83" t="inlineStr">
        <is>
          <t>BSc (Hons) in Information Technology - Cyber Security</t>
        </is>
      </c>
      <c r="H63" s="83" t="inlineStr">
        <is>
          <t>3rd Year</t>
        </is>
      </c>
      <c r="I63" s="83" t="inlineStr">
        <is>
          <t>Yes</t>
        </is>
      </c>
      <c r="J63" s="83" t="inlineStr">
        <is>
          <t>Vegetarian</t>
        </is>
      </c>
      <c r="K63" s="83" t="inlineStr">
        <is>
          <t>LOOP-IFS--B89A</t>
        </is>
      </c>
      <c r="L63" s="83" t="inlineStr"/>
      <c r="M63" s="85" t="n"/>
      <c r="N63" s="85" t="n"/>
      <c r="O63" s="85" t="n"/>
      <c r="P63" s="85" t="n"/>
      <c r="Q63" s="85" t="n"/>
      <c r="R63" s="85" t="n"/>
      <c r="S63" s="85" t="n"/>
      <c r="T63" s="85" t="n"/>
      <c r="U63" s="85" t="n"/>
      <c r="V63" s="85" t="n"/>
      <c r="W63" s="85" t="n"/>
      <c r="X63" s="85" t="n"/>
      <c r="Y63" s="85" t="n"/>
      <c r="Z63" s="85" t="n"/>
    </row>
    <row r="64" ht="21.75" customHeight="1" s="108">
      <c r="A64" s="83" t="n">
        <v>54</v>
      </c>
      <c r="B64" s="91" t="inlineStr">
        <is>
          <t>IEEE Member</t>
        </is>
      </c>
      <c r="C64" s="83" t="inlineStr">
        <is>
          <t>Archayan Mahendran</t>
        </is>
      </c>
      <c r="D64" s="83" t="inlineStr">
        <is>
          <t>archayanmahendran@gmail.com</t>
        </is>
      </c>
      <c r="E64" s="83" t="inlineStr">
        <is>
          <t>0772465594</t>
        </is>
      </c>
      <c r="F64" s="83" t="inlineStr">
        <is>
          <t>200501700506</t>
        </is>
      </c>
      <c r="G64" s="83" t="inlineStr">
        <is>
          <t>BSc (Hons) in Information Technology - Artificial Intelligence</t>
        </is>
      </c>
      <c r="H64" s="83" t="inlineStr">
        <is>
          <t>2nd Year</t>
        </is>
      </c>
      <c r="I64" s="83" t="inlineStr">
        <is>
          <t>Yes</t>
        </is>
      </c>
      <c r="J64" s="83" t="inlineStr">
        <is>
          <t>Non-Veg</t>
        </is>
      </c>
      <c r="K64" s="83" t="inlineStr">
        <is>
          <t>LOOP-IFS--97C6</t>
        </is>
      </c>
      <c r="L64" s="83" t="inlineStr"/>
      <c r="M64" s="85" t="n"/>
      <c r="N64" s="85" t="n"/>
      <c r="O64" s="85" t="n"/>
      <c r="P64" s="85" t="n"/>
      <c r="Q64" s="85" t="n"/>
      <c r="R64" s="85" t="n"/>
      <c r="S64" s="85" t="n"/>
      <c r="T64" s="85" t="n"/>
      <c r="U64" s="85" t="n"/>
      <c r="V64" s="85" t="n"/>
      <c r="W64" s="85" t="n"/>
      <c r="X64" s="85" t="n"/>
      <c r="Y64" s="85" t="n"/>
      <c r="Z64" s="85" t="n"/>
    </row>
    <row r="65" ht="21.75" customHeight="1" s="108">
      <c r="A65" s="83" t="n">
        <v>55</v>
      </c>
      <c r="B65" s="91" t="inlineStr">
        <is>
          <t>IEEE Member</t>
        </is>
      </c>
      <c r="C65" s="83" t="inlineStr">
        <is>
          <t>Yeshan KP</t>
        </is>
      </c>
      <c r="D65" s="83" t="inlineStr">
        <is>
          <t>online.yeshankp@gmail.com</t>
        </is>
      </c>
      <c r="E65" s="83" t="inlineStr">
        <is>
          <t>07660355565</t>
        </is>
      </c>
      <c r="F65" s="83" t="inlineStr">
        <is>
          <t>200415600679</t>
        </is>
      </c>
      <c r="G65" s="83" t="inlineStr">
        <is>
          <t>BSc (Hons) in Information Technology - Computer Systems &amp; Network Engineering</t>
        </is>
      </c>
      <c r="H65" s="83" t="inlineStr">
        <is>
          <t>3rd Year</t>
        </is>
      </c>
      <c r="I65" s="83" t="inlineStr">
        <is>
          <t>Yes</t>
        </is>
      </c>
      <c r="J65" s="83" t="inlineStr">
        <is>
          <t>Non-Veg</t>
        </is>
      </c>
      <c r="K65" s="83" t="inlineStr">
        <is>
          <t>LOOP-IFS--B3A2</t>
        </is>
      </c>
      <c r="L65" s="83" t="inlineStr"/>
      <c r="M65" s="85" t="n"/>
      <c r="N65" s="85" t="n"/>
      <c r="O65" s="85" t="n"/>
      <c r="P65" s="85" t="n"/>
      <c r="Q65" s="85" t="n"/>
      <c r="R65" s="85" t="n"/>
      <c r="S65" s="85" t="n"/>
      <c r="T65" s="85" t="n"/>
      <c r="U65" s="85" t="n"/>
      <c r="V65" s="85" t="n"/>
      <c r="W65" s="85" t="n"/>
      <c r="X65" s="85" t="n"/>
      <c r="Y65" s="85" t="n"/>
      <c r="Z65" s="85" t="n"/>
    </row>
    <row r="66" ht="21.75" customHeight="1" s="108">
      <c r="A66" s="83" t="n">
        <v>57</v>
      </c>
      <c r="B66" s="91" t="inlineStr">
        <is>
          <t>IEEE Member</t>
        </is>
      </c>
      <c r="C66" s="83" t="inlineStr">
        <is>
          <t>RAHUMATHULLA MOHAMED AHSAN</t>
        </is>
      </c>
      <c r="D66" s="83" t="inlineStr">
        <is>
          <t>ahzanahzan257@gmail.com</t>
        </is>
      </c>
      <c r="E66" s="83" t="inlineStr">
        <is>
          <t>+94761335018</t>
        </is>
      </c>
      <c r="F66" s="83" t="inlineStr">
        <is>
          <t>200232600960</t>
        </is>
      </c>
      <c r="G66" s="83" t="inlineStr">
        <is>
          <t>BSc (Hons) in Information Technology - Information Technology</t>
        </is>
      </c>
      <c r="H66" s="83" t="inlineStr">
        <is>
          <t>3rd Year</t>
        </is>
      </c>
      <c r="I66" s="83" t="inlineStr">
        <is>
          <t>Yes</t>
        </is>
      </c>
      <c r="J66" s="83" t="inlineStr">
        <is>
          <t>Non-Veg</t>
        </is>
      </c>
      <c r="K66" s="83" t="inlineStr">
        <is>
          <t>LOOP-IFS--C2BB</t>
        </is>
      </c>
      <c r="L66" s="83" t="inlineStr"/>
      <c r="M66" s="85" t="n"/>
      <c r="N66" s="85" t="n"/>
      <c r="O66" s="85" t="n"/>
      <c r="P66" s="85" t="n"/>
      <c r="Q66" s="85" t="n"/>
      <c r="R66" s="85" t="n"/>
      <c r="S66" s="85" t="n"/>
      <c r="T66" s="85" t="n"/>
      <c r="U66" s="85" t="n"/>
      <c r="V66" s="85" t="n"/>
      <c r="W66" s="85" t="n"/>
      <c r="X66" s="85" t="n"/>
      <c r="Y66" s="85" t="n"/>
      <c r="Z66" s="85" t="n"/>
    </row>
    <row r="67" ht="24" customHeight="1" s="108">
      <c r="A67" s="83" t="n">
        <v>58</v>
      </c>
      <c r="B67" s="91" t="inlineStr">
        <is>
          <t>IEEE Member</t>
        </is>
      </c>
      <c r="C67" s="83" t="inlineStr">
        <is>
          <t>Mahendran Abilash</t>
        </is>
      </c>
      <c r="D67" s="83" t="inlineStr">
        <is>
          <t>m.abilash2006@gmail.com</t>
        </is>
      </c>
      <c r="E67" s="83" t="inlineStr">
        <is>
          <t>0740804159</t>
        </is>
      </c>
      <c r="F67" s="83" t="inlineStr">
        <is>
          <t>200601003998</t>
        </is>
      </c>
      <c r="G67" s="83" t="inlineStr">
        <is>
          <t>BSc (Hons) in Software Engineering</t>
        </is>
      </c>
      <c r="H67" s="83" t="inlineStr">
        <is>
          <t>2nd Year</t>
        </is>
      </c>
      <c r="I67" s="83" t="inlineStr">
        <is>
          <t>Yes</t>
        </is>
      </c>
      <c r="J67" s="83" t="inlineStr">
        <is>
          <t>Non-Veg</t>
        </is>
      </c>
      <c r="K67" s="83" t="inlineStr">
        <is>
          <t>LOOP-IFS--4F2D</t>
        </is>
      </c>
      <c r="L67" s="83" t="inlineStr"/>
      <c r="M67" s="93" t="n"/>
      <c r="N67" s="93" t="n"/>
      <c r="O67" s="93" t="n"/>
      <c r="P67" s="93" t="n"/>
      <c r="Q67" s="93" t="n"/>
      <c r="R67" s="93" t="n"/>
      <c r="S67" s="93" t="n"/>
      <c r="T67" s="93" t="n"/>
      <c r="U67" s="93" t="n"/>
      <c r="V67" s="93" t="n"/>
      <c r="W67" s="93" t="n"/>
      <c r="X67" s="93" t="n"/>
      <c r="Y67" s="93" t="n"/>
      <c r="Z67" s="93" t="n"/>
    </row>
    <row r="68" ht="24" customHeight="1" s="108">
      <c r="A68" s="83" t="n">
        <v>61</v>
      </c>
      <c r="B68" s="91" t="inlineStr">
        <is>
          <t>IEEE Member</t>
        </is>
      </c>
      <c r="C68" s="83" t="inlineStr">
        <is>
          <t>Gavesh Bimsara</t>
        </is>
      </c>
      <c r="D68" s="83" t="inlineStr">
        <is>
          <t>gaveshbimsara2002@gmail.com</t>
        </is>
      </c>
      <c r="E68" s="83" t="inlineStr">
        <is>
          <t>0778955252</t>
        </is>
      </c>
      <c r="F68" s="83" t="inlineStr">
        <is>
          <t>200220501828</t>
        </is>
      </c>
      <c r="G68" s="83" t="inlineStr">
        <is>
          <t>BSc (Hons) in Information Technology - Computer Systems &amp; Network Engineering</t>
        </is>
      </c>
      <c r="H68" s="83" t="inlineStr">
        <is>
          <t>3rd Year</t>
        </is>
      </c>
      <c r="I68" s="83" t="inlineStr">
        <is>
          <t>Yes</t>
        </is>
      </c>
      <c r="J68" s="83" t="inlineStr">
        <is>
          <t>Non-Veg</t>
        </is>
      </c>
      <c r="K68" s="83" t="inlineStr">
        <is>
          <t>LOOP-IFS--9F74</t>
        </is>
      </c>
      <c r="L68" s="83" t="inlineStr"/>
      <c r="M68" s="93" t="n"/>
      <c r="N68" s="93" t="n"/>
      <c r="O68" s="93" t="n"/>
      <c r="P68" s="93" t="n"/>
      <c r="Q68" s="93" t="n"/>
      <c r="R68" s="93" t="n"/>
      <c r="S68" s="93" t="n"/>
      <c r="T68" s="93" t="n"/>
      <c r="U68" s="93" t="n"/>
      <c r="V68" s="93" t="n"/>
      <c r="W68" s="93" t="n"/>
      <c r="X68" s="93" t="n"/>
      <c r="Y68" s="93" t="n"/>
      <c r="Z68" s="93" t="n"/>
    </row>
    <row r="69" ht="24" customHeight="1" s="108">
      <c r="A69" s="83" t="n">
        <v>62</v>
      </c>
      <c r="B69" s="91" t="inlineStr">
        <is>
          <t>IEEE Member</t>
        </is>
      </c>
      <c r="C69" s="83" t="inlineStr">
        <is>
          <t>Amaya Rajapaksha</t>
        </is>
      </c>
      <c r="D69" s="83" t="inlineStr">
        <is>
          <t>amayarajapaksha001@gmail.com</t>
        </is>
      </c>
      <c r="E69" s="83" t="inlineStr">
        <is>
          <t>0702051708</t>
        </is>
      </c>
      <c r="F69" s="83" t="inlineStr">
        <is>
          <t>200376011738</t>
        </is>
      </c>
      <c r="G69" s="83" t="inlineStr">
        <is>
          <t>BSc (Hons) in Information Technology - Information Technology</t>
        </is>
      </c>
      <c r="H69" s="83" t="inlineStr">
        <is>
          <t>1st Year</t>
        </is>
      </c>
      <c r="I69" s="83" t="inlineStr">
        <is>
          <t>Yes</t>
        </is>
      </c>
      <c r="J69" s="83" t="inlineStr">
        <is>
          <t>Non-Veg</t>
        </is>
      </c>
      <c r="K69" s="83" t="inlineStr">
        <is>
          <t>LOOP-IFS--98D0</t>
        </is>
      </c>
      <c r="L69" s="83" t="inlineStr"/>
      <c r="M69" s="93" t="n"/>
      <c r="N69" s="93" t="n"/>
      <c r="O69" s="93" t="n"/>
      <c r="P69" s="93" t="n"/>
      <c r="Q69" s="93" t="n"/>
      <c r="R69" s="93" t="n"/>
      <c r="S69" s="93" t="n"/>
      <c r="T69" s="93" t="n"/>
      <c r="U69" s="93" t="n"/>
      <c r="V69" s="93" t="n"/>
      <c r="W69" s="93" t="n"/>
      <c r="X69" s="93" t="n"/>
      <c r="Y69" s="93" t="n"/>
      <c r="Z69" s="93" t="n"/>
    </row>
    <row r="70" ht="24" customHeight="1" s="108">
      <c r="A70" s="83" t="n">
        <v>64</v>
      </c>
      <c r="B70" s="91" t="inlineStr">
        <is>
          <t>IEEE Member</t>
        </is>
      </c>
      <c r="C70" s="83" t="inlineStr">
        <is>
          <t>Gimhani Perera</t>
        </is>
      </c>
      <c r="D70" s="83" t="inlineStr">
        <is>
          <t>gimhaninawodya801@gmail.com</t>
        </is>
      </c>
      <c r="E70" s="83" t="inlineStr">
        <is>
          <t>0723033233</t>
        </is>
      </c>
      <c r="F70" s="83" t="inlineStr">
        <is>
          <t>200471402232</t>
        </is>
      </c>
      <c r="G70" s="83" t="inlineStr">
        <is>
          <t>BSc (Hons) in Software Engineering</t>
        </is>
      </c>
      <c r="H70" s="83" t="inlineStr">
        <is>
          <t>3rd Year</t>
        </is>
      </c>
      <c r="I70" s="83" t="inlineStr">
        <is>
          <t>Yes</t>
        </is>
      </c>
      <c r="J70" s="83" t="inlineStr">
        <is>
          <t>Non-Veg</t>
        </is>
      </c>
      <c r="K70" s="83" t="inlineStr">
        <is>
          <t>LOOP-IFS--4C1F</t>
        </is>
      </c>
      <c r="L70" s="83" t="inlineStr"/>
      <c r="M70" s="93" t="n"/>
      <c r="N70" s="93" t="n"/>
      <c r="O70" s="93" t="n"/>
      <c r="P70" s="93" t="n"/>
      <c r="Q70" s="93" t="n"/>
      <c r="R70" s="93" t="n"/>
      <c r="S70" s="93" t="n"/>
      <c r="T70" s="93" t="n"/>
      <c r="U70" s="93" t="n"/>
      <c r="V70" s="93" t="n"/>
      <c r="W70" s="93" t="n"/>
      <c r="X70" s="93" t="n"/>
      <c r="Y70" s="93" t="n"/>
      <c r="Z70" s="93" t="n"/>
    </row>
    <row r="71" ht="24" customHeight="1" s="108">
      <c r="A71" s="83" t="n">
        <v>65</v>
      </c>
      <c r="B71" s="91" t="inlineStr">
        <is>
          <t>IEEE Member</t>
        </is>
      </c>
      <c r="C71" s="83" t="inlineStr">
        <is>
          <t>Swetha Bandara</t>
        </is>
      </c>
      <c r="D71" s="83" t="inlineStr">
        <is>
          <t>swethabandara77@gmail.com</t>
        </is>
      </c>
      <c r="E71" s="83" t="inlineStr">
        <is>
          <t>+94718977464</t>
        </is>
      </c>
      <c r="F71" s="83" t="inlineStr">
        <is>
          <t>200410013152</t>
        </is>
      </c>
      <c r="G71" s="83" t="inlineStr">
        <is>
          <t>BSc (Hons) in Software Engineering</t>
        </is>
      </c>
      <c r="H71" s="83" t="inlineStr">
        <is>
          <t>1st Year</t>
        </is>
      </c>
      <c r="I71" s="83" t="inlineStr">
        <is>
          <t>Yes</t>
        </is>
      </c>
      <c r="J71" s="83" t="inlineStr">
        <is>
          <t>Non-Veg</t>
        </is>
      </c>
      <c r="K71" s="83" t="inlineStr">
        <is>
          <t>LOOP-IFS--B868</t>
        </is>
      </c>
      <c r="L71" s="83" t="inlineStr"/>
      <c r="M71" s="93" t="n"/>
      <c r="N71" s="93" t="n"/>
      <c r="O71" s="93" t="n"/>
      <c r="P71" s="93" t="n"/>
      <c r="Q71" s="93" t="n"/>
      <c r="R71" s="93" t="n"/>
      <c r="S71" s="93" t="n"/>
      <c r="T71" s="93" t="n"/>
      <c r="U71" s="93" t="n"/>
      <c r="V71" s="93" t="n"/>
      <c r="W71" s="93" t="n"/>
      <c r="X71" s="93" t="n"/>
      <c r="Y71" s="93" t="n"/>
      <c r="Z71" s="93" t="n"/>
    </row>
  </sheetData>
  <pageMargins left="0.7" right="0.7" top="0.75" bottom="0.75" header="0" footer="0"/>
  <pageSetup orientation="portrait"/>
</worksheet>
</file>

<file path=xl/worksheets/sheet7.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13" t="inlineStr">
        <is>
          <t>#</t>
        </is>
      </c>
      <c r="B1" s="113" t="inlineStr">
        <is>
          <t>Full Name</t>
        </is>
      </c>
      <c r="C1" s="113" t="inlineStr">
        <is>
          <t>Email Address</t>
        </is>
      </c>
      <c r="D1" s="113" t="inlineStr">
        <is>
          <t>Phone Number</t>
        </is>
      </c>
      <c r="E1" s="113" t="inlineStr">
        <is>
          <t>NIC</t>
        </is>
      </c>
      <c r="F1" s="113" t="inlineStr">
        <is>
          <t>Degree Program</t>
        </is>
      </c>
      <c r="G1" s="113" t="inlineStr">
        <is>
          <t>Year of Study</t>
        </is>
      </c>
      <c r="H1" s="113" t="inlineStr">
        <is>
          <t>Dietary Preference</t>
        </is>
      </c>
      <c r="I1" s="113" t="inlineStr">
        <is>
          <t>IEEE Member</t>
        </is>
      </c>
      <c r="J1" s="113" t="inlineStr">
        <is>
          <t>IEEE Membership No</t>
        </is>
      </c>
      <c r="K1" s="109" t="inlineStr">
        <is>
          <t>Confirmation / RSVP Note</t>
        </is>
      </c>
    </row>
    <row r="2">
      <c r="A2" s="112" t="n">
        <v>1</v>
      </c>
      <c r="B2" s="112" t="inlineStr">
        <is>
          <t>Chathumina Kalatuwage</t>
        </is>
      </c>
      <c r="C2" s="112" t="inlineStr">
        <is>
          <t>chathumina@ieee.org</t>
        </is>
      </c>
      <c r="D2" s="112" t="inlineStr">
        <is>
          <t>0721270234</t>
        </is>
      </c>
      <c r="E2" s="112" t="inlineStr">
        <is>
          <t>200328414721</t>
        </is>
      </c>
      <c r="F2" s="112" t="inlineStr">
        <is>
          <t>Mechatronics</t>
        </is>
      </c>
      <c r="G2" s="112" t="inlineStr">
        <is>
          <t>4th Year</t>
        </is>
      </c>
      <c r="H2" s="112" t="inlineStr">
        <is>
          <t>Non-Veg</t>
        </is>
      </c>
      <c r="I2" s="112" t="inlineStr">
        <is>
          <t>Yes - IEEE RAS Membership</t>
        </is>
      </c>
      <c r="J2" s="112" t="n"/>
      <c r="K2" s="112" t="inlineStr">
        <is>
          <t>Yes</t>
        </is>
      </c>
    </row>
    <row r="3">
      <c r="A3" s="112" t="n">
        <v>2</v>
      </c>
      <c r="B3" s="112" t="inlineStr">
        <is>
          <t>G.M.Deepthi Chathulya Karunarathna</t>
        </is>
      </c>
      <c r="C3" s="112" t="inlineStr">
        <is>
          <t>deepthichathulya747@gmail.com</t>
        </is>
      </c>
      <c r="D3" s="112" t="inlineStr">
        <is>
          <t>0701953276</t>
        </is>
      </c>
      <c r="E3" s="112" t="inlineStr">
        <is>
          <t>200384710130</t>
        </is>
      </c>
      <c r="F3" s="112" t="inlineStr">
        <is>
          <t>Mechanical Engineering</t>
        </is>
      </c>
      <c r="G3" s="112" t="inlineStr">
        <is>
          <t>1st Year</t>
        </is>
      </c>
      <c r="H3" s="112" t="inlineStr">
        <is>
          <t>Non-Veg</t>
        </is>
      </c>
      <c r="I3" s="112" t="inlineStr">
        <is>
          <t>Yes - IEEE RAS Membership</t>
        </is>
      </c>
      <c r="J3" s="112" t="inlineStr">
        <is>
          <t>102646626</t>
        </is>
      </c>
      <c r="K3" s="112" t="inlineStr">
        <is>
          <t>no answer</t>
        </is>
      </c>
    </row>
    <row r="4">
      <c r="A4" s="112" t="n">
        <v>3</v>
      </c>
      <c r="B4" s="112" t="inlineStr">
        <is>
          <t>Sisina Gunasekara</t>
        </is>
      </c>
      <c r="C4" s="112" t="inlineStr">
        <is>
          <t>sisinagunasekara@gmail.com</t>
        </is>
      </c>
      <c r="D4" s="112" t="inlineStr">
        <is>
          <t>0756318740</t>
        </is>
      </c>
      <c r="E4" s="112" t="inlineStr">
        <is>
          <t>200509301019</t>
        </is>
      </c>
      <c r="F4" s="112" t="inlineStr">
        <is>
          <t xml:space="preserve">Electrical and electronics engineering </t>
        </is>
      </c>
      <c r="G4" s="112" t="inlineStr">
        <is>
          <t>2nd Year</t>
        </is>
      </c>
      <c r="H4" s="112" t="inlineStr">
        <is>
          <t>Non-Veg</t>
        </is>
      </c>
      <c r="I4" s="112" t="inlineStr">
        <is>
          <t>Yes - IEEE RAS Membership</t>
        </is>
      </c>
      <c r="J4" s="112" t="inlineStr">
        <is>
          <t>102570196</t>
        </is>
      </c>
      <c r="K4" s="112" t="inlineStr">
        <is>
          <t>no answer</t>
        </is>
      </c>
    </row>
    <row r="5">
      <c r="A5" s="112" t="n">
        <v>4</v>
      </c>
      <c r="B5" s="112" t="inlineStr">
        <is>
          <t>Sugumar Sadurshan</t>
        </is>
      </c>
      <c r="C5" s="112" t="inlineStr">
        <is>
          <t>sugumarsadurshan@gmail.com</t>
        </is>
      </c>
      <c r="D5" s="112" t="inlineStr">
        <is>
          <t>0774788857</t>
        </is>
      </c>
      <c r="E5" s="112" t="inlineStr">
        <is>
          <t>200405210757</t>
        </is>
      </c>
      <c r="F5" s="112" t="inlineStr">
        <is>
          <t xml:space="preserve">Computer Science </t>
        </is>
      </c>
      <c r="G5" s="112" t="inlineStr">
        <is>
          <t>2nd Year</t>
        </is>
      </c>
      <c r="H5" s="112" t="inlineStr">
        <is>
          <t>Non-Veg</t>
        </is>
      </c>
      <c r="I5" s="112" t="inlineStr">
        <is>
          <t>Yes - IEEE Student Membership</t>
        </is>
      </c>
      <c r="J5" s="112" t="inlineStr">
        <is>
          <t>102588026</t>
        </is>
      </c>
      <c r="K5" s="112" t="inlineStr">
        <is>
          <t>confirmed</t>
        </is>
      </c>
    </row>
    <row r="6">
      <c r="A6" s="112" t="n">
        <v>5</v>
      </c>
      <c r="B6" s="112" t="inlineStr">
        <is>
          <t>Sahan Nethumina</t>
        </is>
      </c>
      <c r="C6" s="112" t="inlineStr">
        <is>
          <t>sahannethuminaln24@gmail.com</t>
        </is>
      </c>
      <c r="D6" s="112" t="inlineStr">
        <is>
          <t>0717246685</t>
        </is>
      </c>
      <c r="E6" s="112" t="inlineStr">
        <is>
          <t>200319913103</t>
        </is>
      </c>
      <c r="F6" s="112" t="inlineStr">
        <is>
          <t xml:space="preserve">Electrical and electronic engineering </t>
        </is>
      </c>
      <c r="G6" s="112" t="inlineStr">
        <is>
          <t>2nd Year</t>
        </is>
      </c>
      <c r="H6" s="112" t="inlineStr">
        <is>
          <t>Non-Veg</t>
        </is>
      </c>
      <c r="I6" s="112" t="inlineStr">
        <is>
          <t>Yes - IEEE Student Membership</t>
        </is>
      </c>
      <c r="J6" s="112" t="inlineStr">
        <is>
          <t>102544409</t>
        </is>
      </c>
      <c r="K6" s="112" t="inlineStr">
        <is>
          <t>no answer</t>
        </is>
      </c>
    </row>
    <row r="7">
      <c r="A7" s="112" t="n">
        <v>6</v>
      </c>
      <c r="B7" s="112" t="inlineStr">
        <is>
          <t>Nethaka Siriwardena</t>
        </is>
      </c>
      <c r="C7" s="112" t="inlineStr">
        <is>
          <t>nethakasiriwardena@gmail.com</t>
        </is>
      </c>
      <c r="D7" s="112" t="inlineStr">
        <is>
          <t>0777567090</t>
        </is>
      </c>
      <c r="E7" s="112" t="inlineStr">
        <is>
          <t>200332400312</t>
        </is>
      </c>
      <c r="F7" s="112" t="inlineStr">
        <is>
          <t>Bsc (Hons) in Computer Science</t>
        </is>
      </c>
      <c r="G7" s="112" t="inlineStr">
        <is>
          <t>2nd Year</t>
        </is>
      </c>
      <c r="H7" s="112" t="inlineStr">
        <is>
          <t>Non-Veg</t>
        </is>
      </c>
      <c r="I7" s="112" t="inlineStr">
        <is>
          <t>Yes - IEEE Student Membership</t>
        </is>
      </c>
      <c r="J7" s="112" t="inlineStr">
        <is>
          <t>101573952</t>
        </is>
      </c>
      <c r="K7" s="112" t="inlineStr">
        <is>
          <t>no answer</t>
        </is>
      </c>
    </row>
    <row r="8">
      <c r="A8" s="112" t="n">
        <v>7</v>
      </c>
      <c r="B8" s="112" t="inlineStr">
        <is>
          <t>Fasha Fahim</t>
        </is>
      </c>
      <c r="C8" s="112" t="inlineStr">
        <is>
          <t>fasha2225@gmail.com</t>
        </is>
      </c>
      <c r="D8" s="112" t="inlineStr">
        <is>
          <t>+94740430804</t>
        </is>
      </c>
      <c r="E8" s="112" t="inlineStr">
        <is>
          <t>200382513490</t>
        </is>
      </c>
      <c r="F8" s="112" t="inlineStr">
        <is>
          <t xml:space="preserve">Computer Systems Engineering </t>
        </is>
      </c>
      <c r="G8" s="112" t="inlineStr">
        <is>
          <t>3rd Year</t>
        </is>
      </c>
      <c r="H8" s="112" t="inlineStr">
        <is>
          <t>Veg</t>
        </is>
      </c>
      <c r="I8" s="112" t="inlineStr">
        <is>
          <t>Yes - IEEE Student Membership</t>
        </is>
      </c>
      <c r="J8" s="112" t="inlineStr">
        <is>
          <t>102603218</t>
        </is>
      </c>
      <c r="K8" s="112" t="inlineStr">
        <is>
          <t>confirmed</t>
        </is>
      </c>
    </row>
    <row r="9">
      <c r="A9" s="112" t="n">
        <v>8</v>
      </c>
      <c r="B9" s="112" t="inlineStr">
        <is>
          <t>Kusal Senavirathne</t>
        </is>
      </c>
      <c r="C9" s="112" t="n"/>
      <c r="D9" s="112" t="n"/>
      <c r="E9" s="112" t="inlineStr">
        <is>
          <t>200133800894</t>
        </is>
      </c>
      <c r="F9" s="112" t="n"/>
      <c r="G9" s="112" t="n"/>
      <c r="H9" s="112" t="inlineStr">
        <is>
          <t>Non-Veg</t>
        </is>
      </c>
      <c r="I9" s="112" t="n"/>
      <c r="J9" s="112" t="n"/>
      <c r="K9" s="112" t="inlineStr">
        <is>
          <t>Confirmed via Final List</t>
        </is>
      </c>
    </row>
    <row r="10">
      <c r="A10" s="112" t="n">
        <v>9</v>
      </c>
      <c r="B10" s="112" t="inlineStr">
        <is>
          <t>P .M.H Mandira Polgampala</t>
        </is>
      </c>
      <c r="C10" s="112" t="inlineStr">
        <is>
          <t>mandirapmh@gmail.com</t>
        </is>
      </c>
      <c r="D10" s="112" t="inlineStr">
        <is>
          <t>0767771382</t>
        </is>
      </c>
      <c r="E10" s="112" t="inlineStr">
        <is>
          <t>200263903359</t>
        </is>
      </c>
      <c r="F10" s="112" t="inlineStr">
        <is>
          <t xml:space="preserve">Electrical and Electronics Engineering </t>
        </is>
      </c>
      <c r="G10" s="112" t="inlineStr">
        <is>
          <t>4th Year</t>
        </is>
      </c>
      <c r="H10" s="112" t="inlineStr">
        <is>
          <t>Non-Veg</t>
        </is>
      </c>
      <c r="I10" s="112" t="inlineStr">
        <is>
          <t>Yes - IEEE Student Membership</t>
        </is>
      </c>
      <c r="J10" s="112" t="inlineStr">
        <is>
          <t>101212684</t>
        </is>
      </c>
      <c r="K10" s="112" t="inlineStr">
        <is>
          <t>confirmed</t>
        </is>
      </c>
    </row>
    <row r="11">
      <c r="A11" s="112" t="n">
        <v>10</v>
      </c>
      <c r="B11" s="112" t="inlineStr">
        <is>
          <t>Nuwandi Ferdinand</t>
        </is>
      </c>
      <c r="C11" s="112" t="inlineStr">
        <is>
          <t>rasinthikanirmali@gmail.com</t>
        </is>
      </c>
      <c r="D11" s="112" t="inlineStr">
        <is>
          <t>0723301161</t>
        </is>
      </c>
      <c r="E11" s="112" t="inlineStr">
        <is>
          <t>200757004688</t>
        </is>
      </c>
      <c r="F11" s="112" t="inlineStr">
        <is>
          <t xml:space="preserve">BSc. Computer Systems Engineering </t>
        </is>
      </c>
      <c r="G11" s="112" t="inlineStr">
        <is>
          <t>3rd Year</t>
        </is>
      </c>
      <c r="H11" s="112" t="inlineStr">
        <is>
          <t>Non-Veg</t>
        </is>
      </c>
      <c r="I11" s="112" t="inlineStr">
        <is>
          <t>Yes - IEEE Student Membership</t>
        </is>
      </c>
      <c r="J11" s="112" t="inlineStr">
        <is>
          <t>102603307</t>
        </is>
      </c>
      <c r="K11" s="112" t="inlineStr">
        <is>
          <t>confirmed</t>
        </is>
      </c>
    </row>
    <row r="12">
      <c r="A12" s="112" t="n">
        <v>11</v>
      </c>
      <c r="B12" s="112" t="inlineStr">
        <is>
          <t>Thrishodaran V</t>
        </is>
      </c>
      <c r="C12" s="112" t="inlineStr">
        <is>
          <t>thrishor05@gmail.com</t>
        </is>
      </c>
      <c r="D12" s="112" t="inlineStr">
        <is>
          <t>0763481066</t>
        </is>
      </c>
      <c r="E12" s="112" t="inlineStr">
        <is>
          <t>200504201495</t>
        </is>
      </c>
      <c r="F12" s="112" t="inlineStr">
        <is>
          <t>BSc (Hons) Information Technology</t>
        </is>
      </c>
      <c r="G12" s="112" t="inlineStr">
        <is>
          <t>2nd Year</t>
        </is>
      </c>
      <c r="H12" s="112" t="inlineStr">
        <is>
          <t>Non-Veg</t>
        </is>
      </c>
      <c r="I12" s="112" t="inlineStr">
        <is>
          <t>Yes - IEEE Student Membership</t>
        </is>
      </c>
      <c r="J12" s="112" t="inlineStr">
        <is>
          <t>102619809</t>
        </is>
      </c>
      <c r="K12" s="112" t="inlineStr">
        <is>
          <t>Confirmed</t>
        </is>
      </c>
    </row>
    <row r="13">
      <c r="A13" s="112" t="n">
        <v>12</v>
      </c>
      <c r="B13" s="112" t="inlineStr">
        <is>
          <t>G. Shazmina Oudeen</t>
        </is>
      </c>
      <c r="C13" s="112" t="inlineStr">
        <is>
          <t>Shxminaoud@gmail.com</t>
        </is>
      </c>
      <c r="D13" s="112" t="inlineStr">
        <is>
          <t>0757119305</t>
        </is>
      </c>
      <c r="E13" s="112" t="inlineStr">
        <is>
          <t>200554204328</t>
        </is>
      </c>
      <c r="F13" s="112" t="inlineStr">
        <is>
          <t xml:space="preserve">Bsc (hons) in Information Technology </t>
        </is>
      </c>
      <c r="G13" s="112" t="inlineStr">
        <is>
          <t>3rd Year</t>
        </is>
      </c>
      <c r="H13" s="112" t="inlineStr">
        <is>
          <t>Non-Veg</t>
        </is>
      </c>
      <c r="I13" s="112" t="inlineStr">
        <is>
          <t>Yes - IEEE Student Membership</t>
        </is>
      </c>
      <c r="J13" s="112" t="inlineStr">
        <is>
          <t>102584776</t>
        </is>
      </c>
      <c r="K13" s="112" t="inlineStr">
        <is>
          <t>confirmed</t>
        </is>
      </c>
    </row>
    <row r="14">
      <c r="A14" s="112" t="n">
        <v>13</v>
      </c>
      <c r="B14" s="112" t="inlineStr">
        <is>
          <t>Linal De Zoysa</t>
        </is>
      </c>
      <c r="C14" s="112" t="n"/>
      <c r="D14" s="112" t="n"/>
      <c r="E14" s="112" t="inlineStr">
        <is>
          <t>200329613330</t>
        </is>
      </c>
      <c r="F14" s="112" t="n"/>
      <c r="G14" s="112" t="n"/>
      <c r="H14" s="112" t="inlineStr">
        <is>
          <t>Non-Veg</t>
        </is>
      </c>
      <c r="I14" s="112" t="n"/>
      <c r="J14" s="112" t="n"/>
      <c r="K14" s="112" t="inlineStr">
        <is>
          <t>Confirmed via Final List</t>
        </is>
      </c>
    </row>
    <row r="15">
      <c r="A15" s="112" t="n">
        <v>14</v>
      </c>
      <c r="B15" s="112" t="inlineStr">
        <is>
          <t>Galgamuge Dinil Shanuk Silva</t>
        </is>
      </c>
      <c r="C15" s="112" t="inlineStr">
        <is>
          <t>shanuk.silva50@gmail.com</t>
        </is>
      </c>
      <c r="D15" s="112" t="inlineStr">
        <is>
          <t>0765596356</t>
        </is>
      </c>
      <c r="E15" s="112" t="inlineStr">
        <is>
          <t>200419001212</t>
        </is>
      </c>
      <c r="F15" s="112" t="inlineStr">
        <is>
          <t>Electrical Engineering</t>
        </is>
      </c>
      <c r="G15" s="112" t="inlineStr">
        <is>
          <t>2nd Year</t>
        </is>
      </c>
      <c r="H15" s="112" t="inlineStr">
        <is>
          <t>Non-Veg</t>
        </is>
      </c>
      <c r="I15" s="112" t="inlineStr">
        <is>
          <t>Yes - IEEE RAS Membership</t>
        </is>
      </c>
      <c r="J15" s="112" t="inlineStr">
        <is>
          <t>102576393</t>
        </is>
      </c>
      <c r="K15" s="112" t="inlineStr">
        <is>
          <t>no answer</t>
        </is>
      </c>
    </row>
    <row r="16">
      <c r="A16" s="112" t="n">
        <v>15</v>
      </c>
      <c r="B16" s="112" t="inlineStr">
        <is>
          <t>Tharindu Wijerathna</t>
        </is>
      </c>
      <c r="C16" s="112" t="inlineStr">
        <is>
          <t>wijerathna.dev.2004@gmail.com</t>
        </is>
      </c>
      <c r="D16" s="112" t="inlineStr">
        <is>
          <t>0740976916</t>
        </is>
      </c>
      <c r="E16" s="112" t="inlineStr">
        <is>
          <t>200420803939</t>
        </is>
      </c>
      <c r="F16" s="112" t="inlineStr">
        <is>
          <t>BSc Hons specialized in Artificial intelligence</t>
        </is>
      </c>
      <c r="G16" s="112" t="inlineStr">
        <is>
          <t>2nd Year</t>
        </is>
      </c>
      <c r="H16" s="112" t="inlineStr">
        <is>
          <t>Non-Veg</t>
        </is>
      </c>
      <c r="I16" s="112" t="inlineStr">
        <is>
          <t>Yes - IEEE Student Membership</t>
        </is>
      </c>
      <c r="J16" s="112" t="inlineStr">
        <is>
          <t>102461187</t>
        </is>
      </c>
      <c r="K16" s="112" t="inlineStr">
        <is>
          <t>Confirmed</t>
        </is>
      </c>
    </row>
    <row r="17">
      <c r="A17" s="112" t="n">
        <v>16</v>
      </c>
      <c r="B17" s="112" t="inlineStr">
        <is>
          <t>Himasari M.M.P .W</t>
        </is>
      </c>
      <c r="C17" s="112" t="inlineStr">
        <is>
          <t>vimansahimasari@gmail.com</t>
        </is>
      </c>
      <c r="D17" s="112" t="inlineStr">
        <is>
          <t>0715947496</t>
        </is>
      </c>
      <c r="E17" s="112" t="inlineStr">
        <is>
          <t>200481302184</t>
        </is>
      </c>
      <c r="F17" s="112" t="inlineStr">
        <is>
          <t xml:space="preserve">Bsc.Electrical and Electronic Engineering </t>
        </is>
      </c>
      <c r="G17" s="112" t="inlineStr">
        <is>
          <t>2nd Year</t>
        </is>
      </c>
      <c r="H17" s="112" t="inlineStr">
        <is>
          <t>Non-Veg</t>
        </is>
      </c>
      <c r="I17" s="112" t="inlineStr">
        <is>
          <t>Yes - IEEE Student Membership</t>
        </is>
      </c>
      <c r="J17" s="112" t="inlineStr">
        <is>
          <t>102566930</t>
        </is>
      </c>
      <c r="K17" s="112" t="inlineStr">
        <is>
          <t>confirmed</t>
        </is>
      </c>
    </row>
    <row r="18">
      <c r="A18" s="112" t="n">
        <v>17</v>
      </c>
      <c r="B18" s="112" t="inlineStr">
        <is>
          <t>Vidara Karannagoda</t>
        </is>
      </c>
      <c r="C18" s="112" t="inlineStr">
        <is>
          <t>ransiluni.2002@gmail.com</t>
        </is>
      </c>
      <c r="D18" s="112" t="inlineStr">
        <is>
          <t>0764231685</t>
        </is>
      </c>
      <c r="E18" s="112" t="inlineStr">
        <is>
          <t>200277102563</t>
        </is>
      </c>
      <c r="F18" s="112" t="n"/>
      <c r="G18" s="112" t="n"/>
      <c r="H18" s="112" t="inlineStr">
        <is>
          <t>Non-Veg</t>
        </is>
      </c>
      <c r="I18" s="112" t="n"/>
      <c r="J18" s="112" t="n"/>
      <c r="K18" s="112" t="inlineStr">
        <is>
          <t>Confirmed via Final List</t>
        </is>
      </c>
    </row>
    <row r="19">
      <c r="A19" s="112" t="n">
        <v>18</v>
      </c>
      <c r="B19" s="112" t="inlineStr">
        <is>
          <t>T.G. Kaveesha Anujith De Silva</t>
        </is>
      </c>
      <c r="C19" s="112" t="inlineStr">
        <is>
          <t>tgkanujith@gmail.com</t>
        </is>
      </c>
      <c r="D19" s="112" t="inlineStr">
        <is>
          <t>0781646772</t>
        </is>
      </c>
      <c r="E19" s="112" t="inlineStr">
        <is>
          <t>200400611450</t>
        </is>
      </c>
      <c r="F19" s="112" t="inlineStr">
        <is>
          <t xml:space="preserve">Electrical and Electronic Engineering </t>
        </is>
      </c>
      <c r="G19" s="112" t="inlineStr">
        <is>
          <t>2nd Year</t>
        </is>
      </c>
      <c r="H19" s="112" t="inlineStr">
        <is>
          <t>Non-Veg</t>
        </is>
      </c>
      <c r="I19" s="112" t="inlineStr">
        <is>
          <t>Yes - IEEE Student Membership</t>
        </is>
      </c>
      <c r="J19" s="112" t="inlineStr">
        <is>
          <t>102543802</t>
        </is>
      </c>
      <c r="K19" s="112" t="inlineStr">
        <is>
          <t>confirmed</t>
        </is>
      </c>
    </row>
    <row r="20">
      <c r="A20" s="112" t="n">
        <v>19</v>
      </c>
      <c r="B20" s="112" t="inlineStr">
        <is>
          <t>Poorni Dananjana Rathnayake</t>
        </is>
      </c>
      <c r="C20" s="112" t="inlineStr">
        <is>
          <t>poornidananjanaa01@gmail.com</t>
        </is>
      </c>
      <c r="D20" s="112" t="inlineStr">
        <is>
          <t>0716591567</t>
        </is>
      </c>
      <c r="E20" s="112" t="inlineStr">
        <is>
          <t>200352303577</t>
        </is>
      </c>
      <c r="F20" s="112" t="inlineStr">
        <is>
          <t xml:space="preserve">B.Sc (Hon's) in Information Technology </t>
        </is>
      </c>
      <c r="G20" s="112" t="inlineStr">
        <is>
          <t>3rd Year</t>
        </is>
      </c>
      <c r="H20" s="112" t="inlineStr">
        <is>
          <t>Non-Veg</t>
        </is>
      </c>
      <c r="I20" s="112" t="inlineStr">
        <is>
          <t>Yes - IEEE Student Membership</t>
        </is>
      </c>
      <c r="J20" s="112" t="inlineStr">
        <is>
          <t>102198902</t>
        </is>
      </c>
      <c r="K20" s="112" t="inlineStr">
        <is>
          <t>confirmed</t>
        </is>
      </c>
    </row>
    <row r="21">
      <c r="A21" s="112" t="n">
        <v>20</v>
      </c>
      <c r="B21" s="112" t="inlineStr">
        <is>
          <t>Nevishka Chamod Jayasinghe</t>
        </is>
      </c>
      <c r="C21" s="112" t="inlineStr">
        <is>
          <t>en25300189@my.sliit.lk</t>
        </is>
      </c>
      <c r="D21" s="112" t="inlineStr">
        <is>
          <t>0707430124</t>
        </is>
      </c>
      <c r="E21" s="112" t="inlineStr">
        <is>
          <t>200503500679</t>
        </is>
      </c>
      <c r="F21" s="112" t="inlineStr">
        <is>
          <t>Bsc.(Engineering-Mechatronics)</t>
        </is>
      </c>
      <c r="G21" s="112" t="inlineStr">
        <is>
          <t>2nd Year</t>
        </is>
      </c>
      <c r="H21" s="112" t="inlineStr">
        <is>
          <t>Non-Veg</t>
        </is>
      </c>
      <c r="I21" s="112" t="inlineStr">
        <is>
          <t>Yes - IEEE Student Membership</t>
        </is>
      </c>
      <c r="J21" s="112" t="inlineStr">
        <is>
          <t>102545514</t>
        </is>
      </c>
      <c r="K21" s="112" t="inlineStr">
        <is>
          <t>confirmed</t>
        </is>
      </c>
    </row>
    <row r="22">
      <c r="A22" s="112" t="n">
        <v>21</v>
      </c>
      <c r="B22" s="112" t="inlineStr">
        <is>
          <t>M . Senitha Anujaya</t>
        </is>
      </c>
      <c r="C22" s="112" t="inlineStr">
        <is>
          <t>senitha14anujaya@gmail.com</t>
        </is>
      </c>
      <c r="D22" s="112" t="inlineStr">
        <is>
          <t>0710701154</t>
        </is>
      </c>
      <c r="E22" s="112" t="inlineStr">
        <is>
          <t>200425804148</t>
        </is>
      </c>
      <c r="F22" s="112" t="inlineStr">
        <is>
          <t>Information technology specialized in Artificial intelligence.</t>
        </is>
      </c>
      <c r="G22" s="112" t="inlineStr">
        <is>
          <t>2nd Year</t>
        </is>
      </c>
      <c r="H22" s="112" t="inlineStr">
        <is>
          <t>Non-Veg</t>
        </is>
      </c>
      <c r="I22" s="112" t="inlineStr">
        <is>
          <t>Yes - IEEE Student Membership</t>
        </is>
      </c>
      <c r="J22" s="112" t="inlineStr">
        <is>
          <t>102569659</t>
        </is>
      </c>
      <c r="K22" s="112" t="inlineStr">
        <is>
          <t>Confirmed</t>
        </is>
      </c>
    </row>
    <row r="23">
      <c r="A23" s="112" t="n">
        <v>22</v>
      </c>
      <c r="B23" s="112" t="inlineStr">
        <is>
          <t>Sansala DGK</t>
        </is>
      </c>
      <c r="C23" s="112" t="inlineStr">
        <is>
          <t>www.kaveeshasansala@gmail.com</t>
        </is>
      </c>
      <c r="D23" s="112" t="inlineStr">
        <is>
          <t>0703980535</t>
        </is>
      </c>
      <c r="E23" s="112" t="inlineStr">
        <is>
          <t>200428102329</t>
        </is>
      </c>
      <c r="F23" s="112" t="inlineStr">
        <is>
          <t xml:space="preserve">Mechanical Engineering </t>
        </is>
      </c>
      <c r="G23" s="112" t="inlineStr">
        <is>
          <t>2nd Year</t>
        </is>
      </c>
      <c r="H23" s="112" t="inlineStr">
        <is>
          <t>Veg</t>
        </is>
      </c>
      <c r="I23" s="112" t="inlineStr">
        <is>
          <t>No Membership</t>
        </is>
      </c>
      <c r="J23" s="112" t="n"/>
      <c r="K23" s="112" t="inlineStr">
        <is>
          <t>confirmed</t>
        </is>
      </c>
    </row>
    <row r="24">
      <c r="A24" s="112" t="n">
        <v>23</v>
      </c>
      <c r="B24" s="112" t="inlineStr">
        <is>
          <t>Neluki Saseka Balasooriya</t>
        </is>
      </c>
      <c r="C24" s="112" t="inlineStr">
        <is>
          <t>nelukibalasooriya@gmail.com</t>
        </is>
      </c>
      <c r="D24" s="112" t="inlineStr">
        <is>
          <t>0755440008</t>
        </is>
      </c>
      <c r="E24" s="112" t="inlineStr">
        <is>
          <t>200575802192</t>
        </is>
      </c>
      <c r="F24" s="112" t="inlineStr">
        <is>
          <t xml:space="preserve">Mechanical engineering </t>
        </is>
      </c>
      <c r="G24" s="112" t="inlineStr">
        <is>
          <t>2nd Year</t>
        </is>
      </c>
      <c r="H24" s="112" t="inlineStr">
        <is>
          <t>Non-Veg</t>
        </is>
      </c>
      <c r="I24" s="112" t="inlineStr">
        <is>
          <t>Yes - IEEE Student Membership</t>
        </is>
      </c>
      <c r="J24" s="112" t="inlineStr">
        <is>
          <t>102203470</t>
        </is>
      </c>
      <c r="K24" s="112" t="inlineStr">
        <is>
          <t>confirmed</t>
        </is>
      </c>
    </row>
    <row r="25">
      <c r="A25" s="112" t="n">
        <v>24</v>
      </c>
      <c r="B25" s="112" t="inlineStr">
        <is>
          <t>Kavindu Yatawara</t>
        </is>
      </c>
      <c r="C25" s="112" t="inlineStr">
        <is>
          <t>kav02th@gmail.con</t>
        </is>
      </c>
      <c r="D25" s="112" t="inlineStr">
        <is>
          <t>0766442348</t>
        </is>
      </c>
      <c r="E25" s="112" t="inlineStr">
        <is>
          <t>200219102510</t>
        </is>
      </c>
      <c r="F25" s="112" t="inlineStr">
        <is>
          <t xml:space="preserve">Mechatronic engineering </t>
        </is>
      </c>
      <c r="G25" s="112" t="inlineStr">
        <is>
          <t>4th Year</t>
        </is>
      </c>
      <c r="H25" s="112" t="inlineStr">
        <is>
          <t>Non-Veg</t>
        </is>
      </c>
      <c r="I25" s="112" t="inlineStr">
        <is>
          <t>No Membership</t>
        </is>
      </c>
      <c r="J25" s="112" t="n"/>
      <c r="K25" s="112" t="inlineStr">
        <is>
          <t>Pending</t>
        </is>
      </c>
    </row>
    <row r="26">
      <c r="A26" s="112" t="n">
        <v>25</v>
      </c>
      <c r="B26" s="112" t="inlineStr">
        <is>
          <t>Nevindu Gangabada</t>
        </is>
      </c>
      <c r="C26" s="112" t="inlineStr">
        <is>
          <t>nevindusamal@gmail.com</t>
        </is>
      </c>
      <c r="D26" s="112" t="inlineStr">
        <is>
          <t>0771183164</t>
        </is>
      </c>
      <c r="E26" s="112" t="inlineStr">
        <is>
          <t>200518203341</t>
        </is>
      </c>
      <c r="F26" s="112" t="inlineStr">
        <is>
          <t xml:space="preserve">Electrical and Electronics Engineering </t>
        </is>
      </c>
      <c r="G26" s="112" t="inlineStr">
        <is>
          <t>2nd Year</t>
        </is>
      </c>
      <c r="H26" s="112" t="inlineStr">
        <is>
          <t>Non-Veg</t>
        </is>
      </c>
      <c r="I26" s="112" t="inlineStr">
        <is>
          <t>Yes - IEEE Student Membership</t>
        </is>
      </c>
      <c r="J26" s="112" t="n"/>
      <c r="K26" s="112" t="inlineStr">
        <is>
          <t>Confirmed</t>
        </is>
      </c>
    </row>
    <row r="27">
      <c r="A27" s="112" t="n">
        <v>26</v>
      </c>
      <c r="B27" s="112" t="inlineStr">
        <is>
          <t>Sachini Kapurubandara</t>
        </is>
      </c>
      <c r="C27" s="112" t="inlineStr">
        <is>
          <t>sachkapuru02@gmail.com</t>
        </is>
      </c>
      <c r="D27" s="112" t="inlineStr">
        <is>
          <t>0706738975</t>
        </is>
      </c>
      <c r="E27" s="112" t="inlineStr">
        <is>
          <t>200260100611</t>
        </is>
      </c>
      <c r="F27" s="112" t="inlineStr">
        <is>
          <t xml:space="preserve">BSc (Hons) in Computer Science </t>
        </is>
      </c>
      <c r="G27" s="112" t="inlineStr">
        <is>
          <t>3rd Year</t>
        </is>
      </c>
      <c r="H27" s="112" t="inlineStr">
        <is>
          <t>Non-Veg</t>
        </is>
      </c>
      <c r="I27" s="112" t="inlineStr">
        <is>
          <t>Yes - IEEE Student Membership</t>
        </is>
      </c>
      <c r="J27" s="112" t="inlineStr">
        <is>
          <t>102638259</t>
        </is>
      </c>
      <c r="K27" s="112" t="inlineStr">
        <is>
          <t>no answer</t>
        </is>
      </c>
    </row>
    <row r="28">
      <c r="A28" s="112" t="n">
        <v>27</v>
      </c>
      <c r="B28" s="112" t="inlineStr">
        <is>
          <t>Thalgaspitiya Ralalage Swetha Thejan Bandara</t>
        </is>
      </c>
      <c r="C28" s="112" t="inlineStr">
        <is>
          <t>swethabandara77@gmail.com</t>
        </is>
      </c>
      <c r="D28" s="112" t="inlineStr">
        <is>
          <t>0718977464</t>
        </is>
      </c>
      <c r="E28" s="112" t="inlineStr">
        <is>
          <t>200410013152</t>
        </is>
      </c>
      <c r="F28" s="112" t="inlineStr">
        <is>
          <t>Bachelors in Computing - Majoring Software Engineering</t>
        </is>
      </c>
      <c r="G28" s="112" t="inlineStr">
        <is>
          <t>1st Year</t>
        </is>
      </c>
      <c r="H28" s="112" t="inlineStr">
        <is>
          <t>Non-Veg</t>
        </is>
      </c>
      <c r="I28" s="112" t="inlineStr">
        <is>
          <t>Yes - IEEE Student Membership</t>
        </is>
      </c>
      <c r="J28" s="112" t="inlineStr">
        <is>
          <t>102647216</t>
        </is>
      </c>
      <c r="K28" s="112" t="inlineStr">
        <is>
          <t>Confirmed</t>
        </is>
      </c>
    </row>
    <row r="29">
      <c r="A29" s="112" t="n">
        <v>28</v>
      </c>
      <c r="B29" s="112" t="inlineStr">
        <is>
          <t>Shehara Jayathissa</t>
        </is>
      </c>
      <c r="C29" s="112" t="inlineStr">
        <is>
          <t>sheharajayathissa315@gmail.com</t>
        </is>
      </c>
      <c r="D29" s="112" t="inlineStr">
        <is>
          <t>0701942055</t>
        </is>
      </c>
      <c r="E29" s="112" t="inlineStr">
        <is>
          <t>200157503558</t>
        </is>
      </c>
      <c r="F29" s="112" t="inlineStr">
        <is>
          <t xml:space="preserve">EE Engineering </t>
        </is>
      </c>
      <c r="G29" s="112" t="inlineStr">
        <is>
          <t>2nd Year</t>
        </is>
      </c>
      <c r="H29" s="112" t="inlineStr">
        <is>
          <t>Non-Veg</t>
        </is>
      </c>
      <c r="I29" s="112" t="inlineStr">
        <is>
          <t>Yes - IEEE Student Membership</t>
        </is>
      </c>
      <c r="J29" s="112" t="inlineStr">
        <is>
          <t>102566966</t>
        </is>
      </c>
      <c r="K29" s="112" t="inlineStr">
        <is>
          <t>unable to attemd</t>
        </is>
      </c>
    </row>
    <row r="30">
      <c r="A30" s="112" t="n">
        <v>29</v>
      </c>
      <c r="B30" s="112" t="inlineStr">
        <is>
          <t>Rushain Fernando</t>
        </is>
      </c>
      <c r="C30" s="112" t="inlineStr">
        <is>
          <t>en23369542@my.sliit.lk</t>
        </is>
      </c>
      <c r="D30" s="112" t="inlineStr">
        <is>
          <t>0702883223</t>
        </is>
      </c>
      <c r="E30" s="112" t="inlineStr">
        <is>
          <t>200217102200</t>
        </is>
      </c>
      <c r="F30" s="112" t="inlineStr">
        <is>
          <t>EEE</t>
        </is>
      </c>
      <c r="G30" s="112" t="inlineStr">
        <is>
          <t>4th Year</t>
        </is>
      </c>
      <c r="H30" s="112" t="inlineStr">
        <is>
          <t>Non-Veg</t>
        </is>
      </c>
      <c r="I30" s="112" t="inlineStr">
        <is>
          <t>No Membership</t>
        </is>
      </c>
      <c r="J30" s="112" t="n"/>
      <c r="K30" s="112" t="inlineStr">
        <is>
          <t>Pending</t>
        </is>
      </c>
    </row>
    <row r="31">
      <c r="A31" s="112" t="n">
        <v>30</v>
      </c>
      <c r="B31" s="112" t="inlineStr">
        <is>
          <t>P .B Sadeep Sasanka</t>
        </is>
      </c>
      <c r="C31" s="112" t="inlineStr">
        <is>
          <t>sasankasadeep78@gmail.com</t>
        </is>
      </c>
      <c r="D31" s="112" t="inlineStr">
        <is>
          <t>0705922792</t>
        </is>
      </c>
      <c r="E31" s="112" t="inlineStr">
        <is>
          <t>200406801049</t>
        </is>
      </c>
      <c r="F31" s="112" t="inlineStr">
        <is>
          <t>Information system engineering</t>
        </is>
      </c>
      <c r="G31" s="112" t="inlineStr">
        <is>
          <t>3rd Year</t>
        </is>
      </c>
      <c r="H31" s="112" t="inlineStr">
        <is>
          <t>Non-Veg</t>
        </is>
      </c>
      <c r="I31" s="112" t="inlineStr">
        <is>
          <t>Yes - IEEE Student Membership</t>
        </is>
      </c>
      <c r="J31" s="112" t="inlineStr">
        <is>
          <t>102427711</t>
        </is>
      </c>
      <c r="K31" s="112" t="inlineStr">
        <is>
          <t>Confirmed</t>
        </is>
      </c>
    </row>
    <row r="32">
      <c r="A32" s="112" t="n">
        <v>31</v>
      </c>
      <c r="B32" s="112" t="inlineStr">
        <is>
          <t>Gauravi Bandara</t>
        </is>
      </c>
      <c r="C32" s="112" t="inlineStr">
        <is>
          <t>it24104321@my.sliit.lk</t>
        </is>
      </c>
      <c r="D32" s="112" t="inlineStr">
        <is>
          <t>0717374272</t>
        </is>
      </c>
      <c r="E32" s="112" t="inlineStr">
        <is>
          <t>200483201823</t>
        </is>
      </c>
      <c r="F32" s="112" t="inlineStr">
        <is>
          <t xml:space="preserve">Computer Systems Engineering </t>
        </is>
      </c>
      <c r="G32" s="112" t="inlineStr">
        <is>
          <t>3rd Year</t>
        </is>
      </c>
      <c r="H32" s="112" t="inlineStr">
        <is>
          <t>Non-Veg</t>
        </is>
      </c>
      <c r="I32" s="112" t="inlineStr">
        <is>
          <t>Yes - IEEE Student Membership</t>
        </is>
      </c>
      <c r="J32" s="112" t="inlineStr">
        <is>
          <t>102647273</t>
        </is>
      </c>
      <c r="K32" s="112" t="inlineStr">
        <is>
          <t>Confirmed</t>
        </is>
      </c>
    </row>
    <row r="33">
      <c r="A33" s="112" t="n">
        <v>32</v>
      </c>
      <c r="B33" s="112" t="inlineStr">
        <is>
          <t>KITHUSHAN MANIVANNAN</t>
        </is>
      </c>
      <c r="C33" s="112" t="inlineStr">
        <is>
          <t>kithushan02@gmail.com</t>
        </is>
      </c>
      <c r="D33" s="112" t="inlineStr">
        <is>
          <t>0768420135</t>
        </is>
      </c>
      <c r="E33" s="112" t="inlineStr">
        <is>
          <t>200427901992</t>
        </is>
      </c>
      <c r="F33" s="112" t="inlineStr">
        <is>
          <t>BSc (Hons) in Information Technology(Special)</t>
        </is>
      </c>
      <c r="G33" s="112" t="inlineStr">
        <is>
          <t>2nd Year</t>
        </is>
      </c>
      <c r="H33" s="112" t="inlineStr">
        <is>
          <t>Non-Veg</t>
        </is>
      </c>
      <c r="I33" s="112" t="inlineStr">
        <is>
          <t>Yes - IEEE Student Membership</t>
        </is>
      </c>
      <c r="J33" s="112" t="inlineStr">
        <is>
          <t>102586893</t>
        </is>
      </c>
      <c r="K33" s="112" t="inlineStr">
        <is>
          <t>Confirmed</t>
        </is>
      </c>
    </row>
    <row r="34">
      <c r="A34" s="112" t="n">
        <v>33</v>
      </c>
      <c r="B34" s="112" t="inlineStr">
        <is>
          <t>Anbuchselvan Sharvessh Alakaraj</t>
        </is>
      </c>
      <c r="C34" s="112" t="inlineStr">
        <is>
          <t>it25103183@my.sliit.lk</t>
        </is>
      </c>
      <c r="D34" s="112" t="inlineStr">
        <is>
          <t>0771432469</t>
        </is>
      </c>
      <c r="E34" s="112" t="inlineStr">
        <is>
          <t>200504203358</t>
        </is>
      </c>
      <c r="F34" s="112" t="inlineStr">
        <is>
          <t xml:space="preserve">Computer Science </t>
        </is>
      </c>
      <c r="G34" s="112" t="inlineStr">
        <is>
          <t>2nd Year</t>
        </is>
      </c>
      <c r="H34" s="112" t="inlineStr">
        <is>
          <t>Non-Veg</t>
        </is>
      </c>
      <c r="I34" s="112" t="inlineStr">
        <is>
          <t>Yes - IEEE RAS Membership</t>
        </is>
      </c>
      <c r="J34" s="112" t="inlineStr">
        <is>
          <t>102238110</t>
        </is>
      </c>
      <c r="K34" s="112" t="inlineStr">
        <is>
          <t>confirmed</t>
        </is>
      </c>
    </row>
    <row r="35">
      <c r="A35" s="112" t="n">
        <v>34</v>
      </c>
      <c r="B35" s="112" t="inlineStr">
        <is>
          <t>Sithum Sathsara</t>
        </is>
      </c>
      <c r="C35" s="112" t="inlineStr">
        <is>
          <t>sithumsathsara111@gmail.com</t>
        </is>
      </c>
      <c r="D35" s="112" t="inlineStr">
        <is>
          <t>0765774721</t>
        </is>
      </c>
      <c r="E35" s="112" t="inlineStr">
        <is>
          <t>200314810564</t>
        </is>
      </c>
      <c r="F35" s="112" t="inlineStr">
        <is>
          <t>EEE</t>
        </is>
      </c>
      <c r="G35" s="112" t="inlineStr">
        <is>
          <t>3rd Year</t>
        </is>
      </c>
      <c r="H35" s="112" t="inlineStr">
        <is>
          <t>Non-Veg</t>
        </is>
      </c>
      <c r="I35" s="112" t="inlineStr">
        <is>
          <t>Yes - IEEE RAS Membership</t>
        </is>
      </c>
      <c r="J35" s="112" t="inlineStr">
        <is>
          <t>101099311</t>
        </is>
      </c>
      <c r="K35" s="112" t="inlineStr">
        <is>
          <t>confirmed</t>
        </is>
      </c>
    </row>
    <row r="36">
      <c r="A36" s="112" t="n">
        <v>35</v>
      </c>
      <c r="B36" s="112" t="inlineStr">
        <is>
          <t>Deegoda Gamage Ishan Sandaruwan</t>
        </is>
      </c>
      <c r="C36" s="112" t="inlineStr">
        <is>
          <t>ishansandaruwan329@gmail.com</t>
        </is>
      </c>
      <c r="D36" s="112" t="inlineStr">
        <is>
          <t>0778648477</t>
        </is>
      </c>
      <c r="E36" s="112" t="inlineStr">
        <is>
          <t>200304000629</t>
        </is>
      </c>
      <c r="F36" s="112" t="inlineStr">
        <is>
          <t>Bsc Information Technology Specialized in Cyber Security</t>
        </is>
      </c>
      <c r="G36" s="112" t="inlineStr">
        <is>
          <t>2nd Year</t>
        </is>
      </c>
      <c r="H36" s="112" t="inlineStr">
        <is>
          <t>Non-Veg</t>
        </is>
      </c>
      <c r="I36" s="112" t="inlineStr">
        <is>
          <t>Yes - IEEE Student Membership</t>
        </is>
      </c>
      <c r="J36" s="112" t="inlineStr">
        <is>
          <t>102647107</t>
        </is>
      </c>
      <c r="K36" s="112" t="inlineStr">
        <is>
          <t>Confirmed</t>
        </is>
      </c>
    </row>
    <row r="37">
      <c r="A37" s="112" t="n">
        <v>36</v>
      </c>
      <c r="B37" s="112" t="inlineStr">
        <is>
          <t>Achira Karunarathne</t>
        </is>
      </c>
      <c r="C37" s="112" t="inlineStr">
        <is>
          <t>achirakaru2002@gmail.com</t>
        </is>
      </c>
      <c r="D37" s="112" t="inlineStr">
        <is>
          <t>0766409852</t>
        </is>
      </c>
      <c r="E37" s="112" t="inlineStr">
        <is>
          <t>200227003094</t>
        </is>
      </c>
      <c r="F37" s="112" t="inlineStr">
        <is>
          <t>EEE</t>
        </is>
      </c>
      <c r="G37" s="112" t="inlineStr">
        <is>
          <t>4th Year</t>
        </is>
      </c>
      <c r="H37" s="112" t="inlineStr">
        <is>
          <t>Non-Veg</t>
        </is>
      </c>
      <c r="I37" s="112" t="inlineStr">
        <is>
          <t>Yes - IEEE RAS Membership</t>
        </is>
      </c>
      <c r="J37" s="112" t="inlineStr">
        <is>
          <t>102024736</t>
        </is>
      </c>
      <c r="K37" s="112" t="inlineStr">
        <is>
          <t>Confirmed</t>
        </is>
      </c>
    </row>
    <row r="38">
      <c r="A38" s="112" t="n">
        <v>37</v>
      </c>
      <c r="B38" s="112" t="inlineStr">
        <is>
          <t>Yasiru Vithanage</t>
        </is>
      </c>
      <c r="C38" s="112" t="inlineStr">
        <is>
          <t>yasiruvitharanage@gmail.com</t>
        </is>
      </c>
      <c r="D38" s="112" t="inlineStr">
        <is>
          <t>0777213372</t>
        </is>
      </c>
      <c r="E38" s="112" t="inlineStr">
        <is>
          <t>200517404859</t>
        </is>
      </c>
      <c r="F38" s="112" t="inlineStr">
        <is>
          <t xml:space="preserve">Electrical and Electronics Engineering </t>
        </is>
      </c>
      <c r="G38" s="112" t="inlineStr">
        <is>
          <t>4th Year</t>
        </is>
      </c>
      <c r="H38" s="112" t="inlineStr">
        <is>
          <t>Non-Veg</t>
        </is>
      </c>
      <c r="I38" s="112" t="inlineStr">
        <is>
          <t>Yes - IEEE Student Membership</t>
        </is>
      </c>
      <c r="J38" s="112" t="inlineStr">
        <is>
          <t>102019250</t>
        </is>
      </c>
      <c r="K38" s="112" t="inlineStr">
        <is>
          <t>Pending</t>
        </is>
      </c>
    </row>
    <row r="39">
      <c r="A39" s="112" t="n">
        <v>38</v>
      </c>
      <c r="B39" s="112" t="inlineStr">
        <is>
          <t>Sheneli Perera</t>
        </is>
      </c>
      <c r="C39" s="112" t="inlineStr">
        <is>
          <t>en23467866@my.sliit.lk</t>
        </is>
      </c>
      <c r="D39" s="112" t="inlineStr">
        <is>
          <t>0777137795</t>
        </is>
      </c>
      <c r="E39" s="112" t="inlineStr">
        <is>
          <t>200650104616</t>
        </is>
      </c>
      <c r="F39" s="112" t="inlineStr">
        <is>
          <t xml:space="preserve">Bsc.(Hons) in Electrical and Electronic Engineering </t>
        </is>
      </c>
      <c r="G39" s="112" t="inlineStr">
        <is>
          <t>4th Year</t>
        </is>
      </c>
      <c r="H39" s="112" t="inlineStr">
        <is>
          <t>Non-Veg</t>
        </is>
      </c>
      <c r="I39" s="112" t="inlineStr">
        <is>
          <t>Yes - IEEE Student Membership</t>
        </is>
      </c>
      <c r="J39" s="112" t="inlineStr">
        <is>
          <t>102209439</t>
        </is>
      </c>
      <c r="K39" s="112" t="inlineStr">
        <is>
          <t>Pending</t>
        </is>
      </c>
    </row>
    <row r="40">
      <c r="A40" s="112" t="n">
        <v>39</v>
      </c>
      <c r="B40" s="112" t="inlineStr">
        <is>
          <t>Daham Jayakody</t>
        </is>
      </c>
      <c r="C40" s="112" t="inlineStr">
        <is>
          <t>dahamjayakodyy@gmail.com</t>
        </is>
      </c>
      <c r="D40" s="112" t="inlineStr">
        <is>
          <t>+94715305954</t>
        </is>
      </c>
      <c r="E40" s="112" t="inlineStr">
        <is>
          <t>200210200490</t>
        </is>
      </c>
      <c r="F40" s="112" t="inlineStr">
        <is>
          <t xml:space="preserve">Computer Science </t>
        </is>
      </c>
      <c r="G40" s="112" t="inlineStr">
        <is>
          <t>3rd Year</t>
        </is>
      </c>
      <c r="H40" s="112" t="inlineStr">
        <is>
          <t>Non-Veg</t>
        </is>
      </c>
      <c r="I40" s="112" t="inlineStr">
        <is>
          <t>Yes - IEEE Student Membership</t>
        </is>
      </c>
      <c r="J40" s="112" t="n"/>
      <c r="K40" s="112" t="inlineStr">
        <is>
          <t>Pending</t>
        </is>
      </c>
    </row>
    <row r="41">
      <c r="A41" s="112" t="n">
        <v>40</v>
      </c>
      <c r="B41" s="112" t="inlineStr">
        <is>
          <t>Sihan Udayarathna</t>
        </is>
      </c>
      <c r="C41" s="112" t="inlineStr">
        <is>
          <t>sihanudayaratna92@gmail.com</t>
        </is>
      </c>
      <c r="D41" s="112" t="inlineStr">
        <is>
          <t>0776765582</t>
        </is>
      </c>
      <c r="E41" s="112" t="inlineStr">
        <is>
          <t>200325400681</t>
        </is>
      </c>
      <c r="F41" s="112" t="inlineStr">
        <is>
          <t>BSc Computer Science</t>
        </is>
      </c>
      <c r="G41" s="112" t="inlineStr">
        <is>
          <t>3rd Year</t>
        </is>
      </c>
      <c r="H41" s="112" t="inlineStr">
        <is>
          <t>Non-Veg</t>
        </is>
      </c>
      <c r="I41" s="112" t="inlineStr">
        <is>
          <t>Yes - IEEE Student Membership</t>
        </is>
      </c>
      <c r="J41" s="112" t="inlineStr">
        <is>
          <t>100922137</t>
        </is>
      </c>
      <c r="K41" s="112" t="inlineStr">
        <is>
          <t>Pending</t>
        </is>
      </c>
    </row>
    <row r="42">
      <c r="A42" s="112" t="n">
        <v>41</v>
      </c>
      <c r="B42" s="112" t="inlineStr">
        <is>
          <t>Dinuka Nirman Gamage</t>
        </is>
      </c>
      <c r="C42" s="112" t="inlineStr">
        <is>
          <t>adv.dinuka@gmail.com</t>
        </is>
      </c>
      <c r="D42" s="112" t="inlineStr">
        <is>
          <t>0721741038</t>
        </is>
      </c>
      <c r="E42" s="112" t="inlineStr">
        <is>
          <t>200214300787</t>
        </is>
      </c>
      <c r="F42" s="112" t="n"/>
      <c r="G42" s="112" t="n"/>
      <c r="H42" s="112" t="inlineStr">
        <is>
          <t>Non-Veg</t>
        </is>
      </c>
      <c r="I42" s="112" t="n"/>
      <c r="J42" s="112" t="n"/>
      <c r="K42" s="112" t="inlineStr">
        <is>
          <t>Confirmed via Final List</t>
        </is>
      </c>
    </row>
    <row r="43">
      <c r="A43" s="112" t="n">
        <v>42</v>
      </c>
      <c r="B43" s="112" t="inlineStr">
        <is>
          <t>R.A.D.H.M Weerakon</t>
        </is>
      </c>
      <c r="C43" s="112" t="inlineStr">
        <is>
          <t>it24610788@my.sliit.lk</t>
        </is>
      </c>
      <c r="D43" s="112" t="inlineStr">
        <is>
          <t>+94716346815</t>
        </is>
      </c>
      <c r="E43" s="112" t="inlineStr">
        <is>
          <t>200426604281</t>
        </is>
      </c>
      <c r="F43" s="112" t="inlineStr">
        <is>
          <t>Computer Science</t>
        </is>
      </c>
      <c r="G43" s="112" t="inlineStr">
        <is>
          <t>3rd Year</t>
        </is>
      </c>
      <c r="H43" s="112" t="inlineStr">
        <is>
          <t>Non-Veg</t>
        </is>
      </c>
      <c r="I43" s="112" t="inlineStr">
        <is>
          <t>No Membership</t>
        </is>
      </c>
      <c r="J43" s="112" t="n"/>
      <c r="K43" s="112" t="inlineStr">
        <is>
          <t>Pending</t>
        </is>
      </c>
    </row>
    <row r="44">
      <c r="A44" s="112" t="n">
        <v>43</v>
      </c>
      <c r="B44" s="112" t="inlineStr">
        <is>
          <t>R.D Weeramanthri</t>
        </is>
      </c>
      <c r="C44" s="112" t="inlineStr">
        <is>
          <t>rickw6305@gmail.com</t>
        </is>
      </c>
      <c r="D44" s="112" t="inlineStr">
        <is>
          <t>0714839752</t>
        </is>
      </c>
      <c r="E44" s="112" t="inlineStr">
        <is>
          <t>200334910516</t>
        </is>
      </c>
      <c r="F44" s="112" t="inlineStr">
        <is>
          <t>BSc Computer Science</t>
        </is>
      </c>
      <c r="G44" s="112" t="inlineStr">
        <is>
          <t>3rd Year</t>
        </is>
      </c>
      <c r="H44" s="112" t="inlineStr">
        <is>
          <t>Non-Veg</t>
        </is>
      </c>
      <c r="I44" s="112" t="inlineStr">
        <is>
          <t>No Membership</t>
        </is>
      </c>
      <c r="J44" s="112" t="n"/>
      <c r="K44" s="112" t="inlineStr">
        <is>
          <t>Pending</t>
        </is>
      </c>
    </row>
    <row r="45">
      <c r="A45" s="112" t="n">
        <v>44</v>
      </c>
      <c r="B45" s="112" t="inlineStr">
        <is>
          <t>Malmi Nayanathara Gunathilaka</t>
        </is>
      </c>
      <c r="C45" s="112" t="inlineStr">
        <is>
          <t>en25300046@my.sliit.lk</t>
        </is>
      </c>
      <c r="D45" s="112" t="inlineStr">
        <is>
          <t>0719026847</t>
        </is>
      </c>
      <c r="E45" s="112" t="inlineStr">
        <is>
          <t>200573302820</t>
        </is>
      </c>
      <c r="F45" s="112" t="inlineStr">
        <is>
          <t xml:space="preserve">Bsc Hons in electrical and electronic engineering </t>
        </is>
      </c>
      <c r="G45" s="112" t="inlineStr">
        <is>
          <t>2nd Year</t>
        </is>
      </c>
      <c r="H45" s="112" t="inlineStr">
        <is>
          <t>Non-Veg</t>
        </is>
      </c>
      <c r="I45" s="112" t="inlineStr">
        <is>
          <t>Yes - IEEE Student Membership</t>
        </is>
      </c>
      <c r="J45" s="112" t="inlineStr">
        <is>
          <t>102645054</t>
        </is>
      </c>
      <c r="K45" s="112" t="inlineStr">
        <is>
          <t>Confirmed</t>
        </is>
      </c>
    </row>
    <row r="46">
      <c r="A46" s="112" t="n">
        <v>45</v>
      </c>
      <c r="B46" s="112" t="inlineStr">
        <is>
          <t>T.R Lanka Paranawitane</t>
        </is>
      </c>
      <c r="C46" s="112" t="inlineStr">
        <is>
          <t>en23696242@my.sliit.lk</t>
        </is>
      </c>
      <c r="D46" s="112" t="inlineStr">
        <is>
          <t>0715813262</t>
        </is>
      </c>
      <c r="E46" s="112" t="inlineStr">
        <is>
          <t>200328000934</t>
        </is>
      </c>
      <c r="F46" s="112" t="inlineStr">
        <is>
          <t>Electrical and Electronic Engineering</t>
        </is>
      </c>
      <c r="G46" s="112" t="inlineStr">
        <is>
          <t>4th Year</t>
        </is>
      </c>
      <c r="H46" s="112" t="inlineStr">
        <is>
          <t>Non-Veg</t>
        </is>
      </c>
      <c r="I46" s="112" t="inlineStr">
        <is>
          <t>No Membership</t>
        </is>
      </c>
      <c r="J46" s="112" t="n"/>
      <c r="K46" s="112" t="inlineStr">
        <is>
          <t>Pending</t>
        </is>
      </c>
    </row>
    <row r="47">
      <c r="A47" s="112" t="n">
        <v>46</v>
      </c>
      <c r="B47" s="112" t="inlineStr">
        <is>
          <t>Kulindu Balasooriya</t>
        </is>
      </c>
      <c r="C47" s="112" t="inlineStr">
        <is>
          <t>kulindubala@gmail.com</t>
        </is>
      </c>
      <c r="D47" s="112" t="inlineStr">
        <is>
          <t>0771980872</t>
        </is>
      </c>
      <c r="E47" s="112" t="inlineStr">
        <is>
          <t>200323600802</t>
        </is>
      </c>
      <c r="F47" s="112" t="inlineStr">
        <is>
          <t>BSc (Hons) Electrical &amp; Electronics Engineering</t>
        </is>
      </c>
      <c r="G47" s="112" t="inlineStr">
        <is>
          <t>4th Year</t>
        </is>
      </c>
      <c r="H47" s="112" t="inlineStr">
        <is>
          <t>Non-Veg</t>
        </is>
      </c>
      <c r="I47" s="112" t="inlineStr">
        <is>
          <t>No Membership</t>
        </is>
      </c>
      <c r="J47" s="112" t="n"/>
      <c r="K47" s="112" t="inlineStr">
        <is>
          <t>Pending</t>
        </is>
      </c>
    </row>
    <row r="48">
      <c r="A48" s="112" t="n">
        <v>47</v>
      </c>
      <c r="B48" s="112" t="inlineStr">
        <is>
          <t>Kaveen Hettiarachchi</t>
        </is>
      </c>
      <c r="C48" s="112" t="inlineStr">
        <is>
          <t>kaveenhettiarachchi@gmail.com</t>
        </is>
      </c>
      <c r="D48" s="112" t="inlineStr">
        <is>
          <t>0786645983</t>
        </is>
      </c>
      <c r="E48" s="112" t="inlineStr">
        <is>
          <t>200329000564</t>
        </is>
      </c>
      <c r="F48" s="112" t="inlineStr">
        <is>
          <t>BSc Engineering (Hons) in Electrical and Electronic Engineering</t>
        </is>
      </c>
      <c r="G48" s="112" t="inlineStr">
        <is>
          <t>4th Year</t>
        </is>
      </c>
      <c r="H48" s="112" t="inlineStr">
        <is>
          <t>Non-Veg</t>
        </is>
      </c>
      <c r="I48" s="112" t="inlineStr">
        <is>
          <t>No Membership</t>
        </is>
      </c>
      <c r="J48" s="112" t="n"/>
      <c r="K48" s="112" t="inlineStr">
        <is>
          <t>Pending</t>
        </is>
      </c>
    </row>
    <row r="49">
      <c r="A49" s="112" t="n">
        <v>48</v>
      </c>
      <c r="B49" s="112" t="inlineStr">
        <is>
          <t>Binuk Peiris</t>
        </is>
      </c>
      <c r="C49" s="112" t="inlineStr">
        <is>
          <t>binukyehansa1030@gmail.com</t>
        </is>
      </c>
      <c r="D49" s="112" t="inlineStr">
        <is>
          <t>0762938117</t>
        </is>
      </c>
      <c r="E49" s="112" t="inlineStr">
        <is>
          <t>200230400510</t>
        </is>
      </c>
      <c r="F49" s="112" t="inlineStr">
        <is>
          <t xml:space="preserve">Electrical &amp; Electronic Engineering </t>
        </is>
      </c>
      <c r="G49" s="112" t="inlineStr">
        <is>
          <t>4th Year</t>
        </is>
      </c>
      <c r="H49" s="112" t="inlineStr">
        <is>
          <t>Non-Veg</t>
        </is>
      </c>
      <c r="I49" s="112" t="inlineStr">
        <is>
          <t>No Membership</t>
        </is>
      </c>
      <c r="J49" s="112" t="n"/>
      <c r="K49" s="112" t="inlineStr">
        <is>
          <t>Pending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13" t="inlineStr">
        <is>
          <t>#</t>
        </is>
      </c>
      <c r="B1" s="113" t="inlineStr">
        <is>
          <t>Full Name</t>
        </is>
      </c>
      <c r="C1" s="113" t="inlineStr">
        <is>
          <t>Email Address</t>
        </is>
      </c>
      <c r="D1" s="113" t="inlineStr">
        <is>
          <t>Phone Number</t>
        </is>
      </c>
      <c r="E1" s="113" t="inlineStr">
        <is>
          <t>NIC</t>
        </is>
      </c>
      <c r="F1" s="113" t="inlineStr">
        <is>
          <t>Degree Program</t>
        </is>
      </c>
      <c r="G1" s="113" t="inlineStr">
        <is>
          <t>Year of Study</t>
        </is>
      </c>
      <c r="H1" s="113" t="inlineStr">
        <is>
          <t>Source</t>
        </is>
      </c>
    </row>
    <row r="2">
      <c r="A2" s="112" t="n">
        <v>1</v>
      </c>
      <c r="B2" s="112" t="inlineStr">
        <is>
          <t>Dilmi Chamya Nadakanda</t>
        </is>
      </c>
      <c r="C2" s="112" t="inlineStr">
        <is>
          <t>dilmichamya48@gmail.com</t>
        </is>
      </c>
      <c r="D2" s="112" t="inlineStr">
        <is>
          <t>0741663031</t>
        </is>
      </c>
      <c r="E2" s="112" t="inlineStr">
        <is>
          <t>200259903131</t>
        </is>
      </c>
      <c r="F2" s="112" t="inlineStr">
        <is>
          <t>BSc (Hons) in Information Technology - Information Technology</t>
        </is>
      </c>
      <c r="G2" s="112" t="inlineStr">
        <is>
          <t>2nd Year</t>
        </is>
      </c>
      <c r="H2" s="112" t="inlineStr">
        <is>
          <t>Registration sheet (Confirmed)</t>
        </is>
      </c>
    </row>
    <row r="3">
      <c r="A3" s="112" t="n">
        <v>2</v>
      </c>
      <c r="B3" s="112" t="inlineStr">
        <is>
          <t>Arindu Semal Amarajeewa</t>
        </is>
      </c>
      <c r="C3" s="112" t="inlineStr">
        <is>
          <t>amarajeewa355@gmail.com</t>
        </is>
      </c>
      <c r="D3" s="112" t="inlineStr">
        <is>
          <t>0721007572</t>
        </is>
      </c>
      <c r="E3" s="112" t="inlineStr">
        <is>
          <t>200206801964</t>
        </is>
      </c>
      <c r="F3" s="112" t="inlineStr">
        <is>
          <t>BSc (Hons) in Information Technology - Information Technology</t>
        </is>
      </c>
      <c r="G3" s="112" t="inlineStr">
        <is>
          <t>2nd Year</t>
        </is>
      </c>
      <c r="H3" s="112" t="inlineStr">
        <is>
          <t>Registration sheet (Confirmed)</t>
        </is>
      </c>
    </row>
    <row r="4">
      <c r="A4" s="112" t="n">
        <v>3</v>
      </c>
      <c r="B4" s="112" t="inlineStr">
        <is>
          <t>Himandi Dinithima Weerasekara</t>
        </is>
      </c>
      <c r="C4" s="112" t="inlineStr">
        <is>
          <t>himandiweerasekara2002@gmail.com</t>
        </is>
      </c>
      <c r="D4" s="112" t="inlineStr">
        <is>
          <t>0704543861</t>
        </is>
      </c>
      <c r="E4" s="112" t="inlineStr">
        <is>
          <t>200278602344</t>
        </is>
      </c>
      <c r="F4" s="112" t="inlineStr">
        <is>
          <t>BSc (Hons) in Information Technology - Data Science</t>
        </is>
      </c>
      <c r="G4" s="112" t="inlineStr">
        <is>
          <t>3rd Year</t>
        </is>
      </c>
      <c r="H4" s="112" t="inlineStr">
        <is>
          <t>Registration sheet (Confirmed)</t>
        </is>
      </c>
    </row>
    <row r="5">
      <c r="A5" s="112" t="n">
        <v>4</v>
      </c>
      <c r="B5" s="112" t="inlineStr">
        <is>
          <t>Lakni Ranepura</t>
        </is>
      </c>
      <c r="C5" s="112" t="inlineStr">
        <is>
          <t>it23772922@my.sliit.lk</t>
        </is>
      </c>
      <c r="D5" s="112" t="inlineStr">
        <is>
          <t>0766939924</t>
        </is>
      </c>
      <c r="E5" s="112" t="inlineStr">
        <is>
          <t>200161400266</t>
        </is>
      </c>
      <c r="F5" s="112" t="inlineStr">
        <is>
          <t>BSc (Hons) in Software Engineering</t>
        </is>
      </c>
      <c r="G5" s="112" t="inlineStr">
        <is>
          <t>3rd Year</t>
        </is>
      </c>
      <c r="H5" s="112" t="inlineStr">
        <is>
          <t>Registration sheet (Confirmed)</t>
        </is>
      </c>
    </row>
    <row r="6">
      <c r="A6" s="112" t="n">
        <v>5</v>
      </c>
      <c r="B6" s="112" t="inlineStr">
        <is>
          <t>Malith Samarakoon</t>
        </is>
      </c>
      <c r="C6" s="112" t="inlineStr">
        <is>
          <t>malithransika20@gmail.com</t>
        </is>
      </c>
      <c r="D6" s="112" t="inlineStr">
        <is>
          <t>0706617332</t>
        </is>
      </c>
      <c r="E6" s="112" t="inlineStr">
        <is>
          <t>200217200700</t>
        </is>
      </c>
      <c r="F6" s="112" t="inlineStr">
        <is>
          <t>BSc (Hons) in Information Technology - Information Technology</t>
        </is>
      </c>
      <c r="G6" s="112" t="inlineStr">
        <is>
          <t>3rd Year</t>
        </is>
      </c>
      <c r="H6" s="112" t="inlineStr">
        <is>
          <t>Registration sheet (Confirmed)</t>
        </is>
      </c>
    </row>
    <row r="7">
      <c r="A7" s="112" t="n">
        <v>6</v>
      </c>
      <c r="B7" s="112" t="inlineStr">
        <is>
          <t>Sunjai Kajendrajith</t>
        </is>
      </c>
      <c r="C7" s="112" t="inlineStr">
        <is>
          <t>sunkajendrajith@gmail.com</t>
        </is>
      </c>
      <c r="D7" s="112" t="inlineStr">
        <is>
          <t>0774458024</t>
        </is>
      </c>
      <c r="E7" s="112" t="inlineStr">
        <is>
          <t>200501400542</t>
        </is>
      </c>
      <c r="F7" s="112" t="inlineStr">
        <is>
          <t>BSc (Hons) in Software Engineering</t>
        </is>
      </c>
      <c r="G7" s="112" t="inlineStr">
        <is>
          <t>3rd Year</t>
        </is>
      </c>
      <c r="H7" s="112" t="inlineStr">
        <is>
          <t>Registration sheet (Confirmed)</t>
        </is>
      </c>
    </row>
    <row r="8">
      <c r="A8" s="112" t="n">
        <v>7</v>
      </c>
      <c r="B8" s="112" t="inlineStr">
        <is>
          <t>Kasfbi Abool Jayah</t>
        </is>
      </c>
      <c r="C8" s="112" t="inlineStr">
        <is>
          <t>it24102666@my.sliit.lk</t>
        </is>
      </c>
      <c r="D8" s="112" t="inlineStr">
        <is>
          <t>0712327504</t>
        </is>
      </c>
      <c r="E8" s="112" t="inlineStr">
        <is>
          <t>200218000118</t>
        </is>
      </c>
      <c r="F8" s="112" t="inlineStr">
        <is>
          <t>BSc (Hons) in Information Technology - Information Technology</t>
        </is>
      </c>
      <c r="G8" s="112" t="inlineStr">
        <is>
          <t>3rd Year</t>
        </is>
      </c>
      <c r="H8" s="112" t="inlineStr">
        <is>
          <t>Registration sheet (Confirmed)</t>
        </is>
      </c>
    </row>
    <row r="9">
      <c r="A9" s="112" t="n">
        <v>8</v>
      </c>
      <c r="B9" s="112" t="inlineStr">
        <is>
          <t>Methum Kumarasinghe</t>
        </is>
      </c>
      <c r="C9" s="112" t="inlineStr">
        <is>
          <t>methum2020@gmail.com</t>
        </is>
      </c>
      <c r="D9" s="112" t="inlineStr">
        <is>
          <t>0770103642</t>
        </is>
      </c>
      <c r="E9" s="112" t="inlineStr">
        <is>
          <t>200311610314</t>
        </is>
      </c>
      <c r="F9" s="112" t="inlineStr">
        <is>
          <t>BSc (Hons) in Computer Science</t>
        </is>
      </c>
      <c r="G9" s="112" t="inlineStr">
        <is>
          <t>2nd Year</t>
        </is>
      </c>
      <c r="H9" s="112" t="inlineStr">
        <is>
          <t>Registration sheet (Confirmed)</t>
        </is>
      </c>
    </row>
    <row r="10">
      <c r="A10" s="112" t="n">
        <v>9</v>
      </c>
      <c r="B10" s="112" t="inlineStr">
        <is>
          <t>Imanya Gunarathne</t>
        </is>
      </c>
      <c r="C10" s="112" t="inlineStr">
        <is>
          <t>imanyaa18@gmail.com</t>
        </is>
      </c>
      <c r="D10" s="112" t="inlineStr">
        <is>
          <t>0763045629</t>
        </is>
      </c>
      <c r="E10" s="112" t="inlineStr">
        <is>
          <t>200563901946</t>
        </is>
      </c>
      <c r="F10" s="112" t="inlineStr">
        <is>
          <t>BSc (Hons) in Computer Science</t>
        </is>
      </c>
      <c r="G10" s="112" t="inlineStr">
        <is>
          <t>2nd Year</t>
        </is>
      </c>
      <c r="H10" s="112" t="inlineStr">
        <is>
          <t>Registration sheet (Confirmed)</t>
        </is>
      </c>
    </row>
    <row r="11">
      <c r="A11" s="112" t="n">
        <v>10</v>
      </c>
      <c r="B11" s="112" t="inlineStr">
        <is>
          <t>R.AUdara Sahan</t>
        </is>
      </c>
      <c r="C11" s="112" t="inlineStr">
        <is>
          <t>udarasahan2005@gmail.com</t>
        </is>
      </c>
      <c r="D11" s="112" t="inlineStr">
        <is>
          <t>0714292641</t>
        </is>
      </c>
      <c r="E11" s="112" t="inlineStr">
        <is>
          <t>200504501211</t>
        </is>
      </c>
      <c r="F11" s="112" t="inlineStr">
        <is>
          <t>BSc (Hons) in Information Technology - Data Science</t>
        </is>
      </c>
      <c r="G11" s="112" t="inlineStr">
        <is>
          <t>2nd Year</t>
        </is>
      </c>
      <c r="H11" s="112" t="inlineStr">
        <is>
          <t>Registration sheet (Confirmed)</t>
        </is>
      </c>
    </row>
    <row r="12">
      <c r="A12" s="112" t="n">
        <v>11</v>
      </c>
      <c r="B12" s="112" t="inlineStr">
        <is>
          <t>Pathum Lakshan Bandara</t>
        </is>
      </c>
      <c r="C12" s="112" t="inlineStr">
        <is>
          <t>pathum.lakshan.dev@gmail.com</t>
        </is>
      </c>
      <c r="D12" s="112" t="inlineStr">
        <is>
          <t>0717357550</t>
        </is>
      </c>
      <c r="E12" s="112" t="inlineStr">
        <is>
          <t>200407013126</t>
        </is>
      </c>
      <c r="F12" s="112" t="inlineStr">
        <is>
          <t>BSc (Hons) in Software Engineering</t>
        </is>
      </c>
      <c r="G12" s="112" t="inlineStr">
        <is>
          <t>2nd Year</t>
        </is>
      </c>
      <c r="H12" s="112" t="inlineStr">
        <is>
          <t>Registration sheet (Waitlisted)</t>
        </is>
      </c>
    </row>
    <row r="13">
      <c r="A13" s="112" t="n">
        <v>12</v>
      </c>
      <c r="B13" s="112" t="inlineStr">
        <is>
          <t>Damidu Ransith</t>
        </is>
      </c>
      <c r="C13" s="112" t="inlineStr">
        <is>
          <t>damiduransithsl2004@gmail.com</t>
        </is>
      </c>
      <c r="D13" s="112" t="inlineStr">
        <is>
          <t>0789473751</t>
        </is>
      </c>
      <c r="E13" s="112" t="inlineStr">
        <is>
          <t>200428104682</t>
        </is>
      </c>
      <c r="F13" s="112" t="inlineStr">
        <is>
          <t>BSc (Hons) in Information Technology - Computer Systems &amp; Network Engineering</t>
        </is>
      </c>
      <c r="G13" s="112" t="inlineStr">
        <is>
          <t>2nd Year</t>
        </is>
      </c>
      <c r="H13" s="112" t="inlineStr">
        <is>
          <t>Registration sheet (Waitlisted)</t>
        </is>
      </c>
    </row>
    <row r="14">
      <c r="A14" s="112" t="n">
        <v>13</v>
      </c>
      <c r="B14" s="112" t="inlineStr">
        <is>
          <t>chathumika devmin</t>
        </is>
      </c>
      <c r="C14" s="112" t="inlineStr">
        <is>
          <t>chathumikadevmin@icloud.com</t>
        </is>
      </c>
      <c r="D14" s="112" t="inlineStr">
        <is>
          <t>0714614352</t>
        </is>
      </c>
      <c r="E14" s="112" t="inlineStr">
        <is>
          <t>200511803776</t>
        </is>
      </c>
      <c r="F14" s="112" t="inlineStr">
        <is>
          <t>BSc (Hons) in Information Technology - Cyber Security</t>
        </is>
      </c>
      <c r="G14" s="112" t="inlineStr">
        <is>
          <t>2nd Year</t>
        </is>
      </c>
      <c r="H14" s="112" t="inlineStr">
        <is>
          <t>Registration sheet (Waitlisted)</t>
        </is>
      </c>
    </row>
    <row r="15">
      <c r="A15" s="112" t="n">
        <v>14</v>
      </c>
      <c r="B15" s="112" t="inlineStr">
        <is>
          <t>Oshan Rajakaruna</t>
        </is>
      </c>
      <c r="C15" s="112" t="inlineStr">
        <is>
          <t>oshanrajakaruna.studies@gmail.com</t>
        </is>
      </c>
      <c r="D15" s="112" t="inlineStr">
        <is>
          <t>0703165099</t>
        </is>
      </c>
      <c r="E15" s="112" t="inlineStr">
        <is>
          <t>200110600078</t>
        </is>
      </c>
      <c r="F15" s="112" t="inlineStr">
        <is>
          <t>BSc (Hons) in Information Technology - Data Science</t>
        </is>
      </c>
      <c r="G15" s="112" t="inlineStr">
        <is>
          <t>3rd Year</t>
        </is>
      </c>
      <c r="H15" s="112" t="inlineStr">
        <is>
          <t>Registration sheet (Waitlisted)</t>
        </is>
      </c>
    </row>
    <row r="16">
      <c r="A16" s="112" t="n">
        <v>15</v>
      </c>
      <c r="B16" s="112" t="inlineStr">
        <is>
          <t>Minidu Jayasinghe</t>
        </is>
      </c>
      <c r="C16" s="112" t="inlineStr">
        <is>
          <t>it25102553@my.sliit.lk</t>
        </is>
      </c>
      <c r="D16" s="112" t="inlineStr">
        <is>
          <t>0772443816</t>
        </is>
      </c>
      <c r="E16" s="112" t="inlineStr">
        <is>
          <t>200514702158</t>
        </is>
      </c>
      <c r="F16" s="112" t="inlineStr">
        <is>
          <t>BSc (Hons) in Information Technology - Artificial Intelligence</t>
        </is>
      </c>
      <c r="G16" s="112" t="inlineStr">
        <is>
          <t>2nd Year</t>
        </is>
      </c>
      <c r="H16" s="112" t="inlineStr">
        <is>
          <t>Registration sheet (Waitlisted)</t>
        </is>
      </c>
    </row>
    <row r="17">
      <c r="A17" s="112" t="n">
        <v>16</v>
      </c>
      <c r="B17" s="112" t="inlineStr">
        <is>
          <t>Ashani Anuththara</t>
        </is>
      </c>
      <c r="C17" s="112" t="inlineStr">
        <is>
          <t>ashanianuththara117@gmail.com</t>
        </is>
      </c>
      <c r="D17" s="112" t="inlineStr">
        <is>
          <t>0777733250</t>
        </is>
      </c>
      <c r="E17" s="112" t="inlineStr">
        <is>
          <t>200480303984</t>
        </is>
      </c>
      <c r="F17" s="112" t="inlineStr">
        <is>
          <t>BSc (Hons) in Computer Science</t>
        </is>
      </c>
      <c r="G17" s="112" t="inlineStr">
        <is>
          <t>2nd Year</t>
        </is>
      </c>
      <c r="H17" s="112" t="inlineStr">
        <is>
          <t>Registration sheet (Waitlisted)</t>
        </is>
      </c>
    </row>
    <row r="18">
      <c r="A18" s="112" t="n">
        <v>17</v>
      </c>
      <c r="B18" s="112" t="inlineStr">
        <is>
          <t>Vaishnaviey Karunananthan</t>
        </is>
      </c>
      <c r="C18" s="112" t="inlineStr">
        <is>
          <t>vaishkaru28@gmail.com</t>
        </is>
      </c>
      <c r="D18" s="112" t="inlineStr">
        <is>
          <t>0743916818</t>
        </is>
      </c>
      <c r="E18" s="112" t="inlineStr">
        <is>
          <t>200580200414</t>
        </is>
      </c>
      <c r="F18" s="112" t="inlineStr">
        <is>
          <t>BSc (Hons) in Computer Science</t>
        </is>
      </c>
      <c r="G18" s="112" t="inlineStr">
        <is>
          <t>2nd Year</t>
        </is>
      </c>
      <c r="H18" s="112" t="inlineStr">
        <is>
          <t>Registration sheet (Waitlisted)</t>
        </is>
      </c>
    </row>
    <row r="19">
      <c r="A19" s="112" t="n">
        <v>18</v>
      </c>
      <c r="B19" s="112" t="inlineStr">
        <is>
          <t>Viruli Vihanya</t>
        </is>
      </c>
      <c r="C19" s="112" t="inlineStr">
        <is>
          <t>oshanichandanayake@gmail.com</t>
        </is>
      </c>
      <c r="D19" s="112" t="inlineStr">
        <is>
          <t>0719660775</t>
        </is>
      </c>
      <c r="E19" s="112" t="inlineStr">
        <is>
          <t>200255202708</t>
        </is>
      </c>
      <c r="F19" s="112" t="inlineStr">
        <is>
          <t>BSc (Hons) in Software Engineering</t>
        </is>
      </c>
      <c r="G19" s="112" t="inlineStr">
        <is>
          <t>3rd Year</t>
        </is>
      </c>
      <c r="H19" s="112" t="inlineStr">
        <is>
          <t>Registration sheet (Waitlisted)</t>
        </is>
      </c>
    </row>
    <row r="20">
      <c r="A20" s="112" t="n">
        <v>19</v>
      </c>
      <c r="B20" s="112" t="inlineStr">
        <is>
          <t>Pirathap Sathiyaseelan</t>
        </is>
      </c>
      <c r="C20" s="112" t="inlineStr">
        <is>
          <t>pirathap.dev@gmail.com</t>
        </is>
      </c>
      <c r="D20" s="112" t="inlineStr">
        <is>
          <t>0757938169</t>
        </is>
      </c>
      <c r="E20" s="112" t="inlineStr">
        <is>
          <t>200300200184</t>
        </is>
      </c>
      <c r="F20" s="112" t="inlineStr">
        <is>
          <t>BSc (Hons) in Software Engineering</t>
        </is>
      </c>
      <c r="G20" s="112" t="inlineStr">
        <is>
          <t>3rd Year</t>
        </is>
      </c>
      <c r="H20" s="112" t="inlineStr">
        <is>
          <t>Registration sheet (Waitlisted)</t>
        </is>
      </c>
    </row>
    <row r="21">
      <c r="A21" s="112" t="n">
        <v>20</v>
      </c>
      <c r="B21" s="112" t="inlineStr">
        <is>
          <t>Hamsiga Srikanthaverl</t>
        </is>
      </c>
      <c r="C21" s="112" t="inlineStr">
        <is>
          <t>hamsisrikanthaverl@gmail.com</t>
        </is>
      </c>
      <c r="D21" s="112" t="inlineStr">
        <is>
          <t>0764728456</t>
        </is>
      </c>
      <c r="E21" s="112" t="inlineStr">
        <is>
          <t>200263800249</t>
        </is>
      </c>
      <c r="F21" s="112" t="inlineStr">
        <is>
          <t>BSc (Hons) in Software Engineering</t>
        </is>
      </c>
      <c r="G21" s="112" t="inlineStr">
        <is>
          <t>3rd Year</t>
        </is>
      </c>
      <c r="H21" s="112" t="inlineStr">
        <is>
          <t>Registration sheet (Waitlisted)</t>
        </is>
      </c>
    </row>
    <row r="22">
      <c r="A22" s="112" t="n">
        <v>21</v>
      </c>
      <c r="B22" s="112" t="inlineStr">
        <is>
          <t>Sanojan Thayaparan</t>
        </is>
      </c>
      <c r="C22" s="112" t="inlineStr">
        <is>
          <t>sanojan.thayaparan@gmail.com</t>
        </is>
      </c>
      <c r="D22" s="112" t="inlineStr">
        <is>
          <t>0775604390</t>
        </is>
      </c>
      <c r="E22" s="112" t="inlineStr">
        <is>
          <t>200222501304</t>
        </is>
      </c>
      <c r="F22" s="112" t="inlineStr">
        <is>
          <t>BSc (Hons) in Software Engineering</t>
        </is>
      </c>
      <c r="G22" s="112" t="inlineStr">
        <is>
          <t>2nd Year</t>
        </is>
      </c>
      <c r="H22" s="112" t="inlineStr">
        <is>
          <t>Registration sheet (Waitlisted)</t>
        </is>
      </c>
    </row>
    <row r="23">
      <c r="A23" s="112" t="n">
        <v>22</v>
      </c>
      <c r="B23" s="112" t="inlineStr">
        <is>
          <t>Thisara Himansi</t>
        </is>
      </c>
      <c r="C23" s="112" t="inlineStr">
        <is>
          <t>himansiwelgama33@gmail.com</t>
        </is>
      </c>
      <c r="D23" s="112" t="inlineStr">
        <is>
          <t>0717816554</t>
        </is>
      </c>
      <c r="E23" s="112" t="inlineStr">
        <is>
          <t>200377400590</t>
        </is>
      </c>
      <c r="F23" s="112" t="inlineStr">
        <is>
          <t>BSc (Hons) in Information Technology - Information Systems Engineering</t>
        </is>
      </c>
      <c r="G23" s="112" t="inlineStr">
        <is>
          <t>3rd Year</t>
        </is>
      </c>
      <c r="H23" s="112" t="inlineStr">
        <is>
          <t>Registration sheet (Waitlisted)</t>
        </is>
      </c>
    </row>
    <row r="24">
      <c r="A24" s="112" t="n">
        <v>23</v>
      </c>
      <c r="B24" s="112" t="inlineStr">
        <is>
          <t>R.M.G.Rajasinghe</t>
        </is>
      </c>
      <c r="C24" s="112" t="inlineStr">
        <is>
          <t>raveenrajasinghe@gmail.com</t>
        </is>
      </c>
      <c r="D24" s="112" t="inlineStr">
        <is>
          <t>0741369017</t>
        </is>
      </c>
      <c r="E24" s="112" t="inlineStr">
        <is>
          <t>200319710120</t>
        </is>
      </c>
      <c r="F24" s="112" t="inlineStr">
        <is>
          <t>Computer Science</t>
        </is>
      </c>
      <c r="G24" s="112" t="inlineStr">
        <is>
          <t>-</t>
        </is>
      </c>
      <c r="H24" s="112" t="inlineStr">
        <is>
          <t>Untitled sheet</t>
        </is>
      </c>
    </row>
    <row r="25">
      <c r="A25" s="112" t="n">
        <v>24</v>
      </c>
      <c r="B25" s="112" t="inlineStr">
        <is>
          <t>Samarasinghe M.H.D</t>
        </is>
      </c>
      <c r="C25" s="112" t="inlineStr">
        <is>
          <t>heshplus163@gmail.com</t>
        </is>
      </c>
      <c r="D25" s="112" t="inlineStr">
        <is>
          <t>0740502524</t>
        </is>
      </c>
      <c r="E25" s="112" t="inlineStr">
        <is>
          <t>200433704392</t>
        </is>
      </c>
      <c r="F25" s="112" t="inlineStr">
        <is>
          <t>Information Technology</t>
        </is>
      </c>
      <c r="G25" s="112" t="inlineStr">
        <is>
          <t>-</t>
        </is>
      </c>
      <c r="H25" s="112" t="inlineStr">
        <is>
          <t>Untitled sheet</t>
        </is>
      </c>
    </row>
    <row r="26">
      <c r="A26" s="112" t="n">
        <v>25</v>
      </c>
      <c r="B26" s="112" t="inlineStr">
        <is>
          <t>Imeth Liyanaarchchi</t>
        </is>
      </c>
      <c r="C26" s="112" t="inlineStr">
        <is>
          <t>imetheeshan@gmail.com</t>
        </is>
      </c>
      <c r="D26" s="112" t="inlineStr">
        <is>
          <t>0705778826</t>
        </is>
      </c>
      <c r="E26" s="112" t="inlineStr">
        <is>
          <t>200234600918</t>
        </is>
      </c>
      <c r="F26" s="112" t="inlineStr">
        <is>
          <t>Information Technology</t>
        </is>
      </c>
      <c r="G26" s="112" t="inlineStr">
        <is>
          <t>-</t>
        </is>
      </c>
      <c r="H26" s="112" t="inlineStr">
        <is>
          <t>Untitled sheet</t>
        </is>
      </c>
    </row>
    <row r="27">
      <c r="A27" s="112" t="n">
        <v>26</v>
      </c>
      <c r="B27" s="112" t="inlineStr">
        <is>
          <t>Pavan Pamod</t>
        </is>
      </c>
      <c r="C27" s="112" t="inlineStr">
        <is>
          <t>pavan4gunadasa@gmail.com</t>
        </is>
      </c>
      <c r="D27" s="112" t="inlineStr">
        <is>
          <t>0713358343</t>
        </is>
      </c>
      <c r="E27" s="112" t="inlineStr">
        <is>
          <t>200433100262</t>
        </is>
      </c>
      <c r="F27" s="112" t="inlineStr">
        <is>
          <t>Information Technology</t>
        </is>
      </c>
      <c r="G27" s="112" t="inlineStr">
        <is>
          <t>-</t>
        </is>
      </c>
      <c r="H27" s="112" t="inlineStr">
        <is>
          <t>Untitled sheet</t>
        </is>
      </c>
    </row>
    <row r="28">
      <c r="A28" s="112" t="n">
        <v>27</v>
      </c>
      <c r="B28" s="112" t="inlineStr">
        <is>
          <t>Shanaka Kalubowilage</t>
        </is>
      </c>
      <c r="C28" s="112" t="inlineStr">
        <is>
          <t>sskalubowilage@gmail.com</t>
        </is>
      </c>
      <c r="D28" s="112" t="inlineStr">
        <is>
          <t>0763837189</t>
        </is>
      </c>
      <c r="E28" s="112" t="inlineStr">
        <is>
          <t>200215501576</t>
        </is>
      </c>
      <c r="F28" s="112" t="inlineStr">
        <is>
          <t>Data Science</t>
        </is>
      </c>
      <c r="G28" s="112" t="inlineStr">
        <is>
          <t>-</t>
        </is>
      </c>
      <c r="H28" s="112" t="inlineStr">
        <is>
          <t>Untitled sheet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75" customHeight="1"/>
  <cols>
    <col width="28" customWidth="1" style="108" min="1" max="1"/>
    <col width="19.43" customWidth="1" style="108" min="2" max="2"/>
    <col width="36.14" customWidth="1" style="108" min="3" max="3"/>
    <col width="24.86" customWidth="1" style="108" min="4" max="4"/>
    <col width="38.14" customWidth="1" style="108" min="5" max="5"/>
    <col width="27.57" customWidth="1" style="108" min="6" max="6"/>
    <col width="16.86" customWidth="1" style="108" min="7" max="7"/>
    <col width="16" customWidth="1" style="108" min="8" max="12"/>
    <col width="8.710000000000001" customWidth="1" style="108" min="13" max="26"/>
  </cols>
  <sheetData>
    <row r="1" ht="22.5" customHeight="1" s="108">
      <c r="A1" s="95" t="inlineStr">
        <is>
          <t>Full Name</t>
        </is>
      </c>
      <c r="B1" s="95" t="inlineStr">
        <is>
          <t>NIC</t>
        </is>
      </c>
      <c r="C1" s="95" t="inlineStr">
        <is>
          <t>IEEE Membership Number</t>
        </is>
      </c>
      <c r="D1" s="95" t="inlineStr">
        <is>
          <t>Phone Number</t>
        </is>
      </c>
      <c r="E1" s="95" t="inlineStr">
        <is>
          <t>Email Address</t>
        </is>
      </c>
      <c r="F1" s="95" t="inlineStr">
        <is>
          <t>Total Visits Count</t>
        </is>
      </c>
      <c r="G1" s="95" t="inlineStr">
        <is>
          <t>Atlas Labs</t>
        </is>
      </c>
      <c r="H1" s="95" t="inlineStr">
        <is>
          <t>WSO2</t>
        </is>
      </c>
      <c r="I1" s="95" t="inlineStr">
        <is>
          <t>Codegen</t>
        </is>
      </c>
      <c r="J1" s="95" t="inlineStr">
        <is>
          <t>Orange</t>
        </is>
      </c>
      <c r="K1" s="95" t="inlineStr">
        <is>
          <t>Rootcode</t>
        </is>
      </c>
      <c r="L1" s="95" t="inlineStr">
        <is>
          <t>IFS</t>
        </is>
      </c>
      <c r="M1" s="109" t="inlineStr">
        <is>
          <t>Zone24x7</t>
        </is>
      </c>
      <c r="N1" s="109" t="inlineStr">
        <is>
          <t>Cambio</t>
        </is>
      </c>
    </row>
    <row r="2" hidden="1" ht="22.5" customHeight="1" s="108">
      <c r="A2" s="103" t="inlineStr">
        <is>
          <t>Dinuka Nirman</t>
        </is>
      </c>
      <c r="B2" s="97" t="inlineStr">
        <is>
          <t>200214300787</t>
        </is>
      </c>
      <c r="C2" s="97" t="n"/>
      <c r="D2" s="97" t="inlineStr">
        <is>
          <t>0721741038</t>
        </is>
      </c>
      <c r="E2" s="98" t="inlineStr">
        <is>
          <t>adv.dinuka@gmail.com</t>
        </is>
      </c>
      <c r="F2" s="110">
        <f>COUNTIF(G2:N2,"Y")</f>
        <v/>
      </c>
      <c r="G2" s="100" t="inlineStr">
        <is>
          <t>Y</t>
        </is>
      </c>
      <c r="H2" s="101" t="n"/>
      <c r="I2" s="101" t="n"/>
      <c r="J2" s="101" t="n"/>
      <c r="K2" s="101" t="n"/>
      <c r="L2" s="101" t="n"/>
      <c r="M2" s="111" t="inlineStr">
        <is>
          <t>Y</t>
        </is>
      </c>
    </row>
    <row r="3" hidden="1" ht="22.5" customHeight="1" s="108">
      <c r="A3" s="103" t="inlineStr">
        <is>
          <t>Yasiru Vitharanage</t>
        </is>
      </c>
      <c r="B3" s="97" t="inlineStr">
        <is>
          <t>200517404859</t>
        </is>
      </c>
      <c r="C3" s="97" t="inlineStr">
        <is>
          <t>102019250</t>
        </is>
      </c>
      <c r="D3" s="97" t="inlineStr">
        <is>
          <t>0777213372</t>
        </is>
      </c>
      <c r="E3" s="98" t="inlineStr">
        <is>
          <t>yasiruvitharanage@gmail.com</t>
        </is>
      </c>
      <c r="F3" s="110">
        <f>COUNTIF(G3:N3,"Y")</f>
        <v/>
      </c>
      <c r="G3" s="100" t="inlineStr">
        <is>
          <t>Y</t>
        </is>
      </c>
      <c r="H3" s="101" t="n"/>
      <c r="I3" s="101" t="n"/>
      <c r="J3" s="101" t="n"/>
      <c r="K3" s="101" t="n"/>
      <c r="L3" s="101" t="n"/>
      <c r="M3" s="111" t="inlineStr">
        <is>
          <t>Y</t>
        </is>
      </c>
    </row>
    <row r="4" hidden="1" ht="22.5" customHeight="1" s="108">
      <c r="A4" s="103" t="inlineStr">
        <is>
          <t>Savinath Udawaththa</t>
        </is>
      </c>
      <c r="B4" s="97" t="inlineStr">
        <is>
          <t>200112400637</t>
        </is>
      </c>
      <c r="C4" s="97" t="n"/>
      <c r="D4" s="97" t="inlineStr">
        <is>
          <t>0767653620</t>
        </is>
      </c>
      <c r="E4" s="98" t="inlineStr">
        <is>
          <t>udawaththasavinath@gmail.com</t>
        </is>
      </c>
      <c r="F4" s="110">
        <f>COUNTIF(G4:N4,"Y")</f>
        <v/>
      </c>
      <c r="G4" s="100" t="inlineStr">
        <is>
          <t>Y</t>
        </is>
      </c>
      <c r="H4" s="101" t="n"/>
      <c r="I4" s="101" t="n"/>
      <c r="J4" s="101" t="n"/>
      <c r="K4" s="101" t="n"/>
      <c r="L4" s="101" t="n"/>
    </row>
    <row r="5" hidden="1" ht="22.5" customHeight="1" s="108">
      <c r="A5" s="103" t="inlineStr">
        <is>
          <t>Dakshina Yasiru Perera</t>
        </is>
      </c>
      <c r="B5" s="97" t="inlineStr">
        <is>
          <t>200207504228</t>
        </is>
      </c>
      <c r="C5" s="97" t="n"/>
      <c r="D5" s="97" t="inlineStr">
        <is>
          <t>0763824927</t>
        </is>
      </c>
      <c r="E5" s="98" t="inlineStr">
        <is>
          <t>dakshinayasi@gmail.com</t>
        </is>
      </c>
      <c r="F5" s="110">
        <f>COUNTIF(G5:N5,"Y")</f>
        <v/>
      </c>
      <c r="G5" s="100" t="inlineStr">
        <is>
          <t>Y</t>
        </is>
      </c>
      <c r="H5" s="101" t="n"/>
      <c r="I5" s="101" t="n"/>
      <c r="J5" s="101" t="n"/>
      <c r="K5" s="101" t="n"/>
      <c r="L5" s="101" t="n"/>
    </row>
    <row r="6" hidden="1" ht="22.5" customHeight="1" s="108">
      <c r="A6" s="103" t="inlineStr">
        <is>
          <t>Mandira Polgampala</t>
        </is>
      </c>
      <c r="B6" s="97" t="inlineStr">
        <is>
          <t>200263903359</t>
        </is>
      </c>
      <c r="C6" s="97" t="inlineStr">
        <is>
          <t>101212684</t>
        </is>
      </c>
      <c r="D6" s="97" t="inlineStr">
        <is>
          <t>0767771382</t>
        </is>
      </c>
      <c r="E6" s="98" t="inlineStr">
        <is>
          <t>mandirapmh@gmail.com</t>
        </is>
      </c>
      <c r="F6" s="110">
        <f>COUNTIF(G6:N6,"Y")</f>
        <v/>
      </c>
      <c r="G6" s="100" t="inlineStr">
        <is>
          <t>Y</t>
        </is>
      </c>
      <c r="H6" s="101" t="n"/>
      <c r="I6" s="101" t="n"/>
      <c r="J6" s="101" t="n"/>
      <c r="K6" s="101" t="n"/>
      <c r="L6" s="101" t="n"/>
      <c r="M6" s="111" t="inlineStr">
        <is>
          <t>Y</t>
        </is>
      </c>
    </row>
    <row r="7" hidden="1" ht="22.5" customHeight="1" s="108">
      <c r="A7" s="103" t="inlineStr">
        <is>
          <t>Kasun Bandara</t>
        </is>
      </c>
      <c r="B7" s="97" t="inlineStr">
        <is>
          <t>200215002486</t>
        </is>
      </c>
      <c r="C7" s="97" t="n"/>
      <c r="D7" s="97" t="inlineStr">
        <is>
          <t>0781688315</t>
        </is>
      </c>
      <c r="E7" s="98" t="inlineStr">
        <is>
          <t>kasunvimukthiba000@gmail.com</t>
        </is>
      </c>
      <c r="F7" s="110">
        <f>COUNTIF(G7:N7,"Y")</f>
        <v/>
      </c>
      <c r="G7" s="100" t="inlineStr">
        <is>
          <t>Y</t>
        </is>
      </c>
      <c r="H7" s="101" t="n"/>
      <c r="I7" s="101" t="n"/>
      <c r="J7" s="101" t="n"/>
      <c r="K7" s="101" t="n"/>
      <c r="L7" s="101" t="n"/>
    </row>
    <row r="8" hidden="1" ht="22.5" customHeight="1" s="108">
      <c r="A8" s="103" t="inlineStr">
        <is>
          <t>Sethum Dilmith</t>
        </is>
      </c>
      <c r="B8" s="97" t="inlineStr">
        <is>
          <t>200322712736</t>
        </is>
      </c>
      <c r="C8" s="97" t="n"/>
      <c r="D8" s="97" t="inlineStr">
        <is>
          <t>0757643006</t>
        </is>
      </c>
      <c r="E8" s="98" t="inlineStr">
        <is>
          <t>sethumd2003@gmail.com</t>
        </is>
      </c>
      <c r="F8" s="110">
        <f>COUNTIF(G8:N8,"Y")</f>
        <v/>
      </c>
      <c r="G8" s="100" t="inlineStr">
        <is>
          <t>Y</t>
        </is>
      </c>
      <c r="H8" s="101" t="n"/>
      <c r="I8" s="101" t="n"/>
      <c r="J8" s="101" t="n"/>
      <c r="K8" s="101" t="n"/>
      <c r="L8" s="101" t="n"/>
    </row>
    <row r="9" hidden="1" ht="22.5" customHeight="1" s="108">
      <c r="A9" s="103" t="inlineStr">
        <is>
          <t>Pamith Adikari</t>
        </is>
      </c>
      <c r="B9" s="97" t="inlineStr">
        <is>
          <t>200211503287</t>
        </is>
      </c>
      <c r="C9" s="97" t="n"/>
      <c r="D9" s="97" t="inlineStr">
        <is>
          <t>0718963821</t>
        </is>
      </c>
      <c r="E9" s="98" t="inlineStr">
        <is>
          <t>pamithdulkith2002@gmail.com</t>
        </is>
      </c>
      <c r="F9" s="110">
        <f>COUNTIF(G9:N9,"Y")</f>
        <v/>
      </c>
      <c r="G9" s="100" t="inlineStr">
        <is>
          <t>Y</t>
        </is>
      </c>
      <c r="H9" s="101" t="n"/>
      <c r="I9" s="101" t="n"/>
      <c r="J9" s="101" t="n"/>
      <c r="K9" s="101" t="n"/>
      <c r="L9" s="101" t="n"/>
    </row>
    <row r="10" hidden="1" ht="22.5" customHeight="1" s="108">
      <c r="A10" s="103" t="inlineStr">
        <is>
          <t>Prabha Harankahadeniya</t>
        </is>
      </c>
      <c r="B10" s="97" t="inlineStr">
        <is>
          <t>200375510050</t>
        </is>
      </c>
      <c r="C10" s="97" t="n"/>
      <c r="D10" s="97" t="inlineStr">
        <is>
          <t>0715433156</t>
        </is>
      </c>
      <c r="E10" s="98" t="inlineStr">
        <is>
          <t>prabhaharankahadeniya911@gmail.com</t>
        </is>
      </c>
      <c r="F10" s="110">
        <f>COUNTIF(G10:N10,"Y")</f>
        <v/>
      </c>
      <c r="G10" s="100" t="inlineStr">
        <is>
          <t>Y</t>
        </is>
      </c>
      <c r="H10" s="101" t="n"/>
      <c r="I10" s="101" t="n"/>
      <c r="J10" s="101" t="n"/>
      <c r="K10" s="101" t="n"/>
      <c r="L10" s="101" t="n"/>
    </row>
    <row r="11" hidden="1" ht="22.5" customHeight="1" s="108">
      <c r="A11" s="103" t="inlineStr">
        <is>
          <t>Manav Siriwardane</t>
        </is>
      </c>
      <c r="B11" s="97" t="inlineStr">
        <is>
          <t>200532201462</t>
        </is>
      </c>
      <c r="C11" s="97" t="n"/>
      <c r="D11" s="97" t="inlineStr">
        <is>
          <t>0768366946</t>
        </is>
      </c>
      <c r="E11" s="98" t="inlineStr">
        <is>
          <t>sirimanav123@gmail.com</t>
        </is>
      </c>
      <c r="F11" s="110">
        <f>COUNTIF(G11:N11,"Y")</f>
        <v/>
      </c>
      <c r="G11" s="100" t="inlineStr">
        <is>
          <t>Y</t>
        </is>
      </c>
      <c r="H11" s="101" t="n"/>
      <c r="I11" s="101" t="n"/>
      <c r="J11" s="101" t="n"/>
      <c r="K11" s="101" t="n"/>
      <c r="L11" s="101" t="n"/>
    </row>
    <row r="12" hidden="1" ht="22.5" customHeight="1" s="108">
      <c r="A12" s="103" t="inlineStr">
        <is>
          <t>Binuka Weerawardhana</t>
        </is>
      </c>
      <c r="B12" s="97" t="inlineStr">
        <is>
          <t>200632705382</t>
        </is>
      </c>
      <c r="C12" s="97" t="n"/>
      <c r="D12" s="97" t="inlineStr">
        <is>
          <t>0702310016</t>
        </is>
      </c>
      <c r="E12" s="98" t="inlineStr">
        <is>
          <t>inukadamhiruweerawardhana@gmail.com</t>
        </is>
      </c>
      <c r="F12" s="110">
        <f>COUNTIF(G12:N12,"Y")</f>
        <v/>
      </c>
      <c r="G12" s="100" t="inlineStr">
        <is>
          <t>Y</t>
        </is>
      </c>
      <c r="H12" s="101" t="n"/>
      <c r="I12" s="101" t="n"/>
      <c r="J12" s="101" t="n"/>
      <c r="K12" s="101" t="n"/>
      <c r="L12" s="101" t="n"/>
    </row>
    <row r="13" hidden="1" ht="22.5" customHeight="1" s="108">
      <c r="A13" s="103" t="inlineStr">
        <is>
          <t>Sanjuka KGS</t>
        </is>
      </c>
      <c r="B13" s="97" t="inlineStr">
        <is>
          <t>200007001209</t>
        </is>
      </c>
      <c r="C13" s="97" t="n"/>
      <c r="D13" s="97" t="inlineStr">
        <is>
          <t>0789572460</t>
        </is>
      </c>
      <c r="E13" s="98" t="inlineStr">
        <is>
          <t>sachith.sanjuka2000@gmail.com</t>
        </is>
      </c>
      <c r="F13" s="110">
        <f>COUNTIF(G13:N13,"Y")</f>
        <v/>
      </c>
      <c r="G13" s="100" t="inlineStr">
        <is>
          <t>Y</t>
        </is>
      </c>
      <c r="H13" s="101" t="n"/>
      <c r="I13" s="101" t="n"/>
      <c r="J13" s="101" t="n"/>
      <c r="K13" s="101" t="n"/>
      <c r="L13" s="101" t="n"/>
    </row>
    <row r="14" hidden="1" ht="22.5" customHeight="1" s="108">
      <c r="A14" s="103" t="inlineStr">
        <is>
          <t>Chamod Gunarathna</t>
        </is>
      </c>
      <c r="B14" s="97" t="inlineStr">
        <is>
          <t>200106901600</t>
        </is>
      </c>
      <c r="C14" s="97" t="n"/>
      <c r="D14" s="97" t="inlineStr">
        <is>
          <t>0719343364</t>
        </is>
      </c>
      <c r="E14" s="98" t="inlineStr">
        <is>
          <t>chamodshyamal12@gmail.com</t>
        </is>
      </c>
      <c r="F14" s="110">
        <f>COUNTIF(G14:N14,"Y")</f>
        <v/>
      </c>
      <c r="G14" s="100" t="inlineStr">
        <is>
          <t>Y</t>
        </is>
      </c>
      <c r="H14" s="101" t="n"/>
      <c r="I14" s="101" t="n"/>
      <c r="J14" s="101" t="n"/>
      <c r="K14" s="101" t="n"/>
      <c r="L14" s="101" t="n"/>
    </row>
    <row r="15" hidden="1" ht="22.5" customHeight="1" s="108">
      <c r="A15" s="103" t="inlineStr">
        <is>
          <t>Imeth Wijesekara</t>
        </is>
      </c>
      <c r="B15" s="97" t="inlineStr">
        <is>
          <t>200135302627</t>
        </is>
      </c>
      <c r="C15" s="97" t="n"/>
      <c r="D15" s="97" t="inlineStr">
        <is>
          <t>0774866592</t>
        </is>
      </c>
      <c r="E15" s="98" t="inlineStr">
        <is>
          <t>randinuimeth@gmail.com</t>
        </is>
      </c>
      <c r="F15" s="110">
        <f>COUNTIF(G15:N15,"Y")</f>
        <v/>
      </c>
      <c r="G15" s="100" t="inlineStr">
        <is>
          <t>Y</t>
        </is>
      </c>
      <c r="H15" s="101" t="n"/>
      <c r="I15" s="101" t="n"/>
      <c r="J15" s="101" t="n"/>
      <c r="K15" s="101" t="n"/>
      <c r="L15" s="101" t="n"/>
    </row>
    <row r="16" hidden="1" ht="22.5" customHeight="1" s="108">
      <c r="A16" s="103" t="inlineStr">
        <is>
          <t>Oshini Jagoda</t>
        </is>
      </c>
      <c r="B16" s="97" t="inlineStr">
        <is>
          <t>200166001549</t>
        </is>
      </c>
      <c r="C16" s="97" t="n"/>
      <c r="D16" s="97" t="inlineStr">
        <is>
          <t>0786568796</t>
        </is>
      </c>
      <c r="E16" s="98" t="inlineStr">
        <is>
          <t>oshinijagoda@gmail.com</t>
        </is>
      </c>
      <c r="F16" s="110">
        <f>COUNTIF(G16:N16,"Y")</f>
        <v/>
      </c>
      <c r="G16" s="100" t="inlineStr">
        <is>
          <t>Y</t>
        </is>
      </c>
      <c r="H16" s="101" t="n"/>
      <c r="I16" s="101" t="n"/>
      <c r="J16" s="101" t="n"/>
      <c r="K16" s="101" t="n"/>
      <c r="L16" s="101" t="n"/>
    </row>
    <row r="17" hidden="1" ht="22.5" customHeight="1" s="108">
      <c r="A17" s="103" t="inlineStr">
        <is>
          <t>Chathumina Kalatuwage</t>
        </is>
      </c>
      <c r="B17" s="97" t="inlineStr">
        <is>
          <t>200328414721</t>
        </is>
      </c>
      <c r="C17" s="97" t="n"/>
      <c r="D17" s="97" t="inlineStr">
        <is>
          <t>0721270234</t>
        </is>
      </c>
      <c r="E17" s="98" t="inlineStr">
        <is>
          <t>chathumina@ieee.org</t>
        </is>
      </c>
      <c r="F17" s="110">
        <f>COUNTIF(G17:N17,"Y")</f>
        <v/>
      </c>
      <c r="G17" s="100" t="inlineStr">
        <is>
          <t>Y</t>
        </is>
      </c>
      <c r="H17" s="101" t="n"/>
      <c r="I17" s="101" t="n"/>
      <c r="J17" s="101" t="n"/>
      <c r="K17" s="101" t="n"/>
      <c r="L17" s="101" t="n"/>
      <c r="M17" s="111" t="inlineStr">
        <is>
          <t>Y</t>
        </is>
      </c>
    </row>
    <row r="18" hidden="1" ht="22.5" customHeight="1" s="108">
      <c r="A18" s="103" t="inlineStr">
        <is>
          <t>Senethmi Wickramanayake</t>
        </is>
      </c>
      <c r="B18" s="97" t="inlineStr">
        <is>
          <t>200261602241</t>
        </is>
      </c>
      <c r="C18" s="97" t="n"/>
      <c r="D18" s="97" t="inlineStr">
        <is>
          <t>0717144188</t>
        </is>
      </c>
      <c r="E18" s="98" t="inlineStr">
        <is>
          <t>senewicks@gmail.com</t>
        </is>
      </c>
      <c r="F18" s="110">
        <f>COUNTIF(G18:N18,"Y")</f>
        <v/>
      </c>
      <c r="G18" s="100" t="inlineStr">
        <is>
          <t>Y</t>
        </is>
      </c>
      <c r="H18" s="101" t="n"/>
      <c r="I18" s="101" t="n"/>
      <c r="J18" s="101" t="n"/>
      <c r="K18" s="101" t="n"/>
      <c r="L18" s="101" t="n"/>
    </row>
    <row r="19" hidden="1" ht="22.5" customHeight="1" s="108">
      <c r="A19" s="103" t="inlineStr">
        <is>
          <t>Gathsara Gunasinghe</t>
        </is>
      </c>
      <c r="B19" s="97" t="inlineStr">
        <is>
          <t>200333400112</t>
        </is>
      </c>
      <c r="C19" s="97" t="n"/>
      <c r="D19" s="97" t="inlineStr">
        <is>
          <t>0768932606</t>
        </is>
      </c>
      <c r="E19" s="98" t="inlineStr">
        <is>
          <t>gathsaragunasinghe606@gmail.com</t>
        </is>
      </c>
      <c r="F19" s="110">
        <f>COUNTIF(G19:N19,"Y")</f>
        <v/>
      </c>
      <c r="G19" s="100" t="inlineStr">
        <is>
          <t>Y</t>
        </is>
      </c>
      <c r="H19" s="101" t="n"/>
      <c r="I19" s="101" t="n"/>
      <c r="J19" s="101" t="n"/>
      <c r="K19" s="101" t="n"/>
      <c r="L19" s="101" t="n"/>
    </row>
    <row r="20" hidden="1" ht="22.5" customHeight="1" s="108">
      <c r="A20" s="103" t="inlineStr">
        <is>
          <t>Senith Munasinghe</t>
        </is>
      </c>
      <c r="B20" s="97" t="inlineStr">
        <is>
          <t>200306401162</t>
        </is>
      </c>
      <c r="C20" s="97" t="n"/>
      <c r="D20" s="97" t="inlineStr">
        <is>
          <t>0766922989</t>
        </is>
      </c>
      <c r="E20" s="98" t="inlineStr">
        <is>
          <t>en23696310@my.sliit.lk</t>
        </is>
      </c>
      <c r="F20" s="110">
        <f>COUNTIF(G20:N20,"Y")</f>
        <v/>
      </c>
      <c r="G20" s="100" t="inlineStr">
        <is>
          <t>Y</t>
        </is>
      </c>
      <c r="H20" s="101" t="n"/>
      <c r="I20" s="101" t="n"/>
      <c r="J20" s="101" t="n"/>
      <c r="K20" s="101" t="n"/>
      <c r="L20" s="101" t="n"/>
    </row>
    <row r="21" hidden="1" ht="22.5" customHeight="1" s="108">
      <c r="A21" s="103" t="inlineStr">
        <is>
          <t>Parami Wijesundara</t>
        </is>
      </c>
      <c r="B21" s="97" t="inlineStr">
        <is>
          <t>200451110077</t>
        </is>
      </c>
      <c r="C21" s="97" t="n"/>
      <c r="D21" s="97" t="inlineStr">
        <is>
          <t>0767309678</t>
        </is>
      </c>
      <c r="E21" s="98" t="inlineStr">
        <is>
          <t>wijesundaraparami121@gmail.com</t>
        </is>
      </c>
      <c r="F21" s="110">
        <f>COUNTIF(G21:N21,"Y")</f>
        <v/>
      </c>
      <c r="G21" s="100" t="inlineStr">
        <is>
          <t>Y</t>
        </is>
      </c>
      <c r="H21" s="101" t="n"/>
      <c r="I21" s="101" t="n"/>
      <c r="J21" s="101" t="n"/>
      <c r="K21" s="101" t="n"/>
      <c r="L21" s="101" t="n"/>
    </row>
    <row r="22" hidden="1" ht="22.5" customHeight="1" s="108">
      <c r="A22" s="103" t="inlineStr">
        <is>
          <t>Sehansa Welihinda</t>
        </is>
      </c>
      <c r="B22" s="97" t="inlineStr">
        <is>
          <t>200372100728</t>
        </is>
      </c>
      <c r="C22" s="97" t="n"/>
      <c r="D22" s="97" t="inlineStr">
        <is>
          <t>0768086696</t>
        </is>
      </c>
      <c r="E22" s="98" t="inlineStr">
        <is>
          <t>sehansawelihinda@gmail.com</t>
        </is>
      </c>
      <c r="F22" s="110">
        <f>COUNTIF(G22:N22,"Y")</f>
        <v/>
      </c>
      <c r="G22" s="100" t="inlineStr">
        <is>
          <t>Y</t>
        </is>
      </c>
      <c r="H22" s="101" t="n"/>
      <c r="I22" s="101" t="n"/>
      <c r="J22" s="101" t="n"/>
      <c r="K22" s="101" t="n"/>
      <c r="L22" s="101" t="n"/>
    </row>
    <row r="23" hidden="1" ht="22.5" customHeight="1" s="108">
      <c r="A23" s="103" t="inlineStr">
        <is>
          <t>Samadhi Madumali</t>
        </is>
      </c>
      <c r="B23" s="97" t="inlineStr">
        <is>
          <t>200378112801</t>
        </is>
      </c>
      <c r="C23" s="97" t="n"/>
      <c r="D23" s="97" t="inlineStr">
        <is>
          <t>0764598972</t>
        </is>
      </c>
      <c r="E23" s="98" t="inlineStr">
        <is>
          <t>samadimadumali125@gmail.com</t>
        </is>
      </c>
      <c r="F23" s="110">
        <f>COUNTIF(G23:N23,"Y")</f>
        <v/>
      </c>
      <c r="G23" s="100" t="inlineStr">
        <is>
          <t>Y</t>
        </is>
      </c>
      <c r="H23" s="101" t="n"/>
      <c r="I23" s="101" t="n"/>
      <c r="J23" s="101" t="n"/>
      <c r="K23" s="101" t="n"/>
      <c r="L23" s="101" t="n"/>
    </row>
    <row r="24" hidden="1" ht="22.5" customHeight="1" s="108">
      <c r="A24" s="103" t="inlineStr">
        <is>
          <t>Hansi Fernando</t>
        </is>
      </c>
      <c r="B24" s="97" t="inlineStr">
        <is>
          <t>200351102729</t>
        </is>
      </c>
      <c r="C24" s="97" t="n"/>
      <c r="D24" s="97" t="inlineStr">
        <is>
          <t>0774358800</t>
        </is>
      </c>
      <c r="E24" s="98" t="inlineStr">
        <is>
          <t>en24030144@my.sliit.lk</t>
        </is>
      </c>
      <c r="F24" s="110">
        <f>COUNTIF(G24:N24,"Y")</f>
        <v/>
      </c>
      <c r="G24" s="100" t="inlineStr">
        <is>
          <t>Y</t>
        </is>
      </c>
      <c r="H24" s="101" t="n"/>
      <c r="I24" s="101" t="n"/>
      <c r="J24" s="101" t="n"/>
      <c r="K24" s="101" t="n"/>
      <c r="L24" s="101" t="n"/>
    </row>
    <row r="25" hidden="1" ht="22.5" customHeight="1" s="108">
      <c r="A25" s="103" t="inlineStr">
        <is>
          <t>Keshan Dias</t>
        </is>
      </c>
      <c r="B25" s="97" t="inlineStr">
        <is>
          <t>200111002595</t>
        </is>
      </c>
      <c r="C25" s="97" t="n"/>
      <c r="D25" s="97" t="inlineStr">
        <is>
          <t>0784566471</t>
        </is>
      </c>
      <c r="E25" s="98" t="inlineStr">
        <is>
          <t>en22185334@my.sliit.lk</t>
        </is>
      </c>
      <c r="F25" s="110">
        <f>COUNTIF(G25:N25,"Y")</f>
        <v/>
      </c>
      <c r="G25" s="100" t="inlineStr">
        <is>
          <t>Y</t>
        </is>
      </c>
      <c r="H25" s="101" t="n"/>
      <c r="I25" s="101" t="n"/>
      <c r="J25" s="101" t="n"/>
      <c r="K25" s="101" t="n"/>
      <c r="L25" s="101" t="n"/>
    </row>
    <row r="26" hidden="1" ht="22.5" customHeight="1" s="108">
      <c r="A26" s="103" t="inlineStr">
        <is>
          <t>M M Saadhath Ahmed</t>
        </is>
      </c>
      <c r="B26" s="97" t="inlineStr">
        <is>
          <t>200228602362</t>
        </is>
      </c>
      <c r="C26" s="97" t="n"/>
      <c r="D26" s="97" t="inlineStr">
        <is>
          <t>0719499508</t>
        </is>
      </c>
      <c r="E26" s="98" t="inlineStr">
        <is>
          <t>saadhathxlr8@gmail.com</t>
        </is>
      </c>
      <c r="F26" s="110">
        <f>COUNTIF(G26:N26,"Y")</f>
        <v/>
      </c>
      <c r="G26" s="101" t="n"/>
      <c r="H26" s="100" t="inlineStr">
        <is>
          <t>Y</t>
        </is>
      </c>
      <c r="I26" s="101" t="n"/>
      <c r="J26" s="101" t="n"/>
      <c r="K26" s="101" t="n"/>
      <c r="L26" s="101" t="n"/>
    </row>
    <row r="27" hidden="1" ht="22.5" customHeight="1" s="108">
      <c r="A27" s="103" t="inlineStr">
        <is>
          <t>Dinuki Gunawardana</t>
        </is>
      </c>
      <c r="B27" s="97" t="inlineStr">
        <is>
          <t>200275700890</t>
        </is>
      </c>
      <c r="C27" s="97" t="inlineStr">
        <is>
          <t>102571107</t>
        </is>
      </c>
      <c r="D27" s="97" t="inlineStr">
        <is>
          <t>0705991020</t>
        </is>
      </c>
      <c r="E27" s="98" t="inlineStr">
        <is>
          <t>dinukig13@gmail.com</t>
        </is>
      </c>
      <c r="F27" s="110">
        <f>COUNTIF(G27:N27,"Y")</f>
        <v/>
      </c>
      <c r="G27" s="101" t="n"/>
      <c r="H27" s="100" t="inlineStr">
        <is>
          <t>Y</t>
        </is>
      </c>
      <c r="I27" s="100" t="inlineStr">
        <is>
          <t>Y</t>
        </is>
      </c>
      <c r="J27" s="101" t="n"/>
      <c r="K27" s="100" t="inlineStr">
        <is>
          <t>Y</t>
        </is>
      </c>
      <c r="L27" s="101" t="n"/>
    </row>
    <row r="28" hidden="1" ht="22.5" customHeight="1" s="108">
      <c r="A28" s="103" t="inlineStr">
        <is>
          <t>Vidara Karannagoda</t>
        </is>
      </c>
      <c r="B28" s="97" t="inlineStr">
        <is>
          <t>200277102563</t>
        </is>
      </c>
      <c r="C28" s="97" t="n"/>
      <c r="D28" s="97" t="inlineStr">
        <is>
          <t>0764231685</t>
        </is>
      </c>
      <c r="E28" s="98" t="inlineStr">
        <is>
          <t>ransiluni.2002@gmail.com</t>
        </is>
      </c>
      <c r="F28" s="110">
        <f>COUNTIF(G28:N28,"Y")</f>
        <v/>
      </c>
      <c r="G28" s="101" t="n"/>
      <c r="H28" s="100" t="inlineStr">
        <is>
          <t>Y</t>
        </is>
      </c>
      <c r="I28" s="101" t="n"/>
      <c r="J28" s="101" t="n"/>
      <c r="K28" s="101" t="n"/>
      <c r="L28" s="101" t="n"/>
      <c r="M28" s="111" t="inlineStr">
        <is>
          <t>Y</t>
        </is>
      </c>
    </row>
    <row r="29" hidden="1" ht="22.5" customHeight="1" s="108">
      <c r="A29" s="103" t="inlineStr">
        <is>
          <t>Shenali Fernando</t>
        </is>
      </c>
      <c r="B29" s="97" t="inlineStr">
        <is>
          <t>200379400572</t>
        </is>
      </c>
      <c r="C29" s="97" t="n"/>
      <c r="D29" s="97" t="inlineStr">
        <is>
          <t>0760077247</t>
        </is>
      </c>
      <c r="E29" s="98" t="inlineStr">
        <is>
          <t>shenalifernando856@gmail.com</t>
        </is>
      </c>
      <c r="F29" s="110">
        <f>COUNTIF(G29:N29,"Y")</f>
        <v/>
      </c>
      <c r="G29" s="101" t="n"/>
      <c r="H29" s="100" t="inlineStr">
        <is>
          <t>Y</t>
        </is>
      </c>
      <c r="I29" s="101" t="n"/>
      <c r="J29" s="101" t="n"/>
      <c r="K29" s="101" t="n"/>
      <c r="L29" s="101" t="n"/>
    </row>
    <row r="30" hidden="1" ht="22.5" customHeight="1" s="108">
      <c r="A30" s="103" t="inlineStr">
        <is>
          <t>Supundi Rashmini Wijesingha</t>
        </is>
      </c>
      <c r="B30" s="97" t="inlineStr">
        <is>
          <t>200380811606</t>
        </is>
      </c>
      <c r="C30" s="97" t="n"/>
      <c r="D30" s="97" t="inlineStr">
        <is>
          <t>0701656600</t>
        </is>
      </c>
      <c r="E30" s="98" t="inlineStr">
        <is>
          <t>supundirashmini200311@gmail.com</t>
        </is>
      </c>
      <c r="F30" s="110">
        <f>COUNTIF(G30:N30,"Y")</f>
        <v/>
      </c>
      <c r="G30" s="101" t="n"/>
      <c r="H30" s="100" t="inlineStr">
        <is>
          <t>Y</t>
        </is>
      </c>
      <c r="I30" s="101" t="n"/>
      <c r="J30" s="101" t="n"/>
      <c r="K30" s="101" t="n"/>
      <c r="L30" s="101" t="n"/>
    </row>
    <row r="31" hidden="1" ht="22.5" customHeight="1" s="108">
      <c r="A31" s="103" t="inlineStr">
        <is>
          <t>Manith Gamage</t>
        </is>
      </c>
      <c r="B31" s="97" t="inlineStr">
        <is>
          <t>200513800121</t>
        </is>
      </c>
      <c r="C31" s="97" t="n"/>
      <c r="D31" s="97" t="inlineStr">
        <is>
          <t>0760429021</t>
        </is>
      </c>
      <c r="E31" s="98" t="inlineStr">
        <is>
          <t>manithsgamage@gmail.com</t>
        </is>
      </c>
      <c r="F31" s="110">
        <f>COUNTIF(G31:N31,"Y")</f>
        <v/>
      </c>
      <c r="G31" s="101" t="n"/>
      <c r="H31" s="100" t="inlineStr">
        <is>
          <t>Y</t>
        </is>
      </c>
      <c r="I31" s="101" t="n"/>
      <c r="J31" s="101" t="n"/>
      <c r="K31" s="101" t="n"/>
      <c r="L31" s="101" t="n"/>
    </row>
    <row r="32" hidden="1" ht="22.5" customHeight="1" s="108">
      <c r="A32" s="103" t="inlineStr">
        <is>
          <t>W.M. Nimnadi Dulwanya</t>
        </is>
      </c>
      <c r="B32" s="97" t="inlineStr">
        <is>
          <t>200270702564</t>
        </is>
      </c>
      <c r="C32" s="97" t="n"/>
      <c r="D32" s="97" t="inlineStr">
        <is>
          <t>0705706357</t>
        </is>
      </c>
      <c r="E32" s="98" t="inlineStr">
        <is>
          <t>nimnadi.01@gmail.com</t>
        </is>
      </c>
      <c r="F32" s="110">
        <f>COUNTIF(G32:N32,"Y")</f>
        <v/>
      </c>
      <c r="G32" s="101" t="n"/>
      <c r="H32" s="100" t="inlineStr">
        <is>
          <t>Y</t>
        </is>
      </c>
      <c r="I32" s="101" t="n"/>
      <c r="J32" s="101" t="n"/>
      <c r="K32" s="101" t="n"/>
      <c r="L32" s="101" t="n"/>
    </row>
    <row r="33" ht="22.5" customHeight="1" s="108">
      <c r="A33" s="103" t="inlineStr">
        <is>
          <t>Shageeshan</t>
        </is>
      </c>
      <c r="B33" s="97" t="inlineStr">
        <is>
          <t>200423302190</t>
        </is>
      </c>
      <c r="C33" s="97" t="inlineStr">
        <is>
          <t>100804391</t>
        </is>
      </c>
      <c r="D33" s="97" t="inlineStr">
        <is>
          <t>0771089061</t>
        </is>
      </c>
      <c r="E33" s="98" t="inlineStr">
        <is>
          <t>shageejoxtyn@gmail.com</t>
        </is>
      </c>
      <c r="F33" s="110">
        <f>COUNTIF(G33:N33,"Y")</f>
        <v/>
      </c>
      <c r="G33" s="101" t="n"/>
      <c r="H33" s="100" t="inlineStr">
        <is>
          <t>Y</t>
        </is>
      </c>
      <c r="I33" s="100" t="inlineStr">
        <is>
          <t>Y</t>
        </is>
      </c>
      <c r="J33" s="100" t="inlineStr">
        <is>
          <t>Y</t>
        </is>
      </c>
      <c r="K33" s="101" t="n"/>
      <c r="L33" s="100" t="inlineStr">
        <is>
          <t>Y</t>
        </is>
      </c>
    </row>
    <row r="34" ht="22.5" customHeight="1" s="108">
      <c r="A34" s="103" t="inlineStr">
        <is>
          <t>Sahnas Thufail</t>
        </is>
      </c>
      <c r="B34" s="97" t="inlineStr">
        <is>
          <t>200284603184</t>
        </is>
      </c>
      <c r="C34" s="97" t="n"/>
      <c r="D34" s="97" t="inlineStr">
        <is>
          <t>0716633585</t>
        </is>
      </c>
      <c r="E34" s="98" t="inlineStr">
        <is>
          <t>sahnasthufail@gmail.com</t>
        </is>
      </c>
      <c r="F34" s="110">
        <f>COUNTIF(G34:N34,"Y")</f>
        <v/>
      </c>
      <c r="G34" s="101" t="n"/>
      <c r="H34" s="100" t="inlineStr">
        <is>
          <t>Y</t>
        </is>
      </c>
      <c r="I34" s="101" t="n"/>
      <c r="J34" s="101" t="n"/>
      <c r="K34" s="101" t="n"/>
      <c r="L34" s="100" t="inlineStr">
        <is>
          <t>Y</t>
        </is>
      </c>
    </row>
    <row r="35" hidden="1" ht="22.5" customHeight="1" s="108">
      <c r="A35" s="103" t="inlineStr">
        <is>
          <t>Shehani Lakshika Chandrakumar</t>
        </is>
      </c>
      <c r="B35" s="97" t="inlineStr">
        <is>
          <t>200460700270</t>
        </is>
      </c>
      <c r="C35" s="97" t="n"/>
      <c r="D35" s="97" t="inlineStr">
        <is>
          <t>0762768427</t>
        </is>
      </c>
      <c r="E35" s="98" t="inlineStr">
        <is>
          <t>shehanilakshika304@gmail.com</t>
        </is>
      </c>
      <c r="F35" s="110">
        <f>COUNTIF(G35:N35,"Y")</f>
        <v/>
      </c>
      <c r="G35" s="101" t="n"/>
      <c r="H35" s="100" t="inlineStr">
        <is>
          <t>Y</t>
        </is>
      </c>
      <c r="I35" s="101" t="n"/>
      <c r="J35" s="101" t="n"/>
      <c r="K35" s="101" t="n"/>
      <c r="L35" s="101" t="n"/>
    </row>
    <row r="36" hidden="1" ht="22.5" customHeight="1" s="108">
      <c r="A36" s="103" t="inlineStr">
        <is>
          <t>Abdul Rasheed Ajeemuzzan</t>
        </is>
      </c>
      <c r="B36" s="97" t="inlineStr">
        <is>
          <t>200311612449</t>
        </is>
      </c>
      <c r="C36" s="97" t="n"/>
      <c r="D36" s="97" t="inlineStr">
        <is>
          <t>0770490630</t>
        </is>
      </c>
      <c r="E36" s="98" t="inlineStr">
        <is>
          <t>ajeesk07@gmail.com</t>
        </is>
      </c>
      <c r="F36" s="110">
        <f>COUNTIF(G36:N36,"Y")</f>
        <v/>
      </c>
      <c r="G36" s="101" t="n"/>
      <c r="H36" s="100" t="inlineStr">
        <is>
          <t>Y</t>
        </is>
      </c>
      <c r="I36" s="101" t="n"/>
      <c r="J36" s="101" t="n"/>
      <c r="K36" s="101" t="n"/>
      <c r="L36" s="101" t="n"/>
    </row>
    <row r="37" hidden="1" ht="22.5" customHeight="1" s="108">
      <c r="A37" s="103" t="inlineStr">
        <is>
          <t>G.K. Janudi Onethra De Silva</t>
        </is>
      </c>
      <c r="B37" s="97" t="inlineStr">
        <is>
          <t>200385312837</t>
        </is>
      </c>
      <c r="C37" s="97" t="n"/>
      <c r="D37" s="97" t="inlineStr">
        <is>
          <t>0766807309</t>
        </is>
      </c>
      <c r="E37" s="98" t="inlineStr">
        <is>
          <t>onethrajanu2003@gmail.com</t>
        </is>
      </c>
      <c r="F37" s="110">
        <f>COUNTIF(G37:N37,"Y")</f>
        <v/>
      </c>
      <c r="G37" s="101" t="n"/>
      <c r="H37" s="100" t="inlineStr">
        <is>
          <t>Y</t>
        </is>
      </c>
      <c r="I37" s="101" t="n"/>
      <c r="J37" s="101" t="n"/>
      <c r="K37" s="101" t="n"/>
      <c r="L37" s="101" t="n"/>
    </row>
    <row r="38" hidden="1" ht="22.5" customHeight="1" s="108">
      <c r="A38" s="103" t="inlineStr">
        <is>
          <t>Tharaka Hashan Thilakarathne</t>
        </is>
      </c>
      <c r="B38" s="97" t="inlineStr">
        <is>
          <t>200305300832</t>
        </is>
      </c>
      <c r="C38" s="97" t="inlineStr">
        <is>
          <t>102309418</t>
        </is>
      </c>
      <c r="D38" s="97" t="inlineStr">
        <is>
          <t>0728350607</t>
        </is>
      </c>
      <c r="E38" s="98" t="inlineStr">
        <is>
          <t>thilakarathneskth@gmail.com</t>
        </is>
      </c>
      <c r="F38" s="110">
        <f>COUNTIF(G38:N38,"Y")</f>
        <v/>
      </c>
      <c r="G38" s="101" t="n"/>
      <c r="H38" s="100" t="inlineStr">
        <is>
          <t>Y</t>
        </is>
      </c>
      <c r="I38" s="100" t="inlineStr">
        <is>
          <t>Y</t>
        </is>
      </c>
      <c r="J38" s="101" t="n"/>
      <c r="K38" s="101" t="n"/>
      <c r="L38" s="101" t="n"/>
    </row>
    <row r="39" hidden="1" ht="22.5" customHeight="1" s="108">
      <c r="A39" s="103" t="inlineStr">
        <is>
          <t>Weerasinghe N.A.W.R.N.W</t>
        </is>
      </c>
      <c r="B39" s="97" t="inlineStr">
        <is>
          <t>200477805087</t>
        </is>
      </c>
      <c r="C39" s="97" t="n"/>
      <c r="D39" s="97" t="inlineStr">
        <is>
          <t>0727250101</t>
        </is>
      </c>
      <c r="E39" s="98" t="inlineStr">
        <is>
          <t>it24103687@my.sliit.lk</t>
        </is>
      </c>
      <c r="F39" s="110">
        <f>COUNTIF(G39:N39,"Y")</f>
        <v/>
      </c>
      <c r="G39" s="101" t="n"/>
      <c r="H39" s="100" t="inlineStr">
        <is>
          <t>Y</t>
        </is>
      </c>
      <c r="I39" s="101" t="n"/>
      <c r="J39" s="101" t="n"/>
      <c r="K39" s="101" t="n"/>
      <c r="L39" s="101" t="n"/>
    </row>
    <row r="40" hidden="1" ht="22.5" customHeight="1" s="108">
      <c r="A40" s="103" t="inlineStr">
        <is>
          <t>Kaveesha Rajapaksha</t>
        </is>
      </c>
      <c r="B40" s="97" t="inlineStr">
        <is>
          <t>200373311960</t>
        </is>
      </c>
      <c r="C40" s="97" t="inlineStr">
        <is>
          <t>102571658</t>
        </is>
      </c>
      <c r="D40" s="97" t="inlineStr">
        <is>
          <t>0768014423</t>
        </is>
      </c>
      <c r="E40" s="98" t="inlineStr">
        <is>
          <t>kaveesharajapaksha77@gmail.com</t>
        </is>
      </c>
      <c r="F40" s="110">
        <f>COUNTIF(G40:N40,"Y")</f>
        <v/>
      </c>
      <c r="G40" s="101" t="n"/>
      <c r="H40" s="100" t="inlineStr">
        <is>
          <t>Y</t>
        </is>
      </c>
      <c r="I40" s="101" t="n"/>
      <c r="J40" s="101" t="n"/>
      <c r="K40" s="100" t="inlineStr">
        <is>
          <t>Y</t>
        </is>
      </c>
      <c r="L40" s="101" t="n"/>
    </row>
    <row r="41" hidden="1" ht="22.5" customHeight="1" s="108">
      <c r="A41" s="103" t="inlineStr">
        <is>
          <t>Yehani Nethmini Jayasuriya</t>
        </is>
      </c>
      <c r="B41" s="97" t="inlineStr">
        <is>
          <t>200473802594</t>
        </is>
      </c>
      <c r="C41" s="97" t="n"/>
      <c r="D41" s="97" t="inlineStr">
        <is>
          <t>0704093176</t>
        </is>
      </c>
      <c r="E41" s="98" t="inlineStr">
        <is>
          <t>yehaninethmini92@gmail.com</t>
        </is>
      </c>
      <c r="F41" s="110">
        <f>COUNTIF(G41:N41,"Y")</f>
        <v/>
      </c>
      <c r="G41" s="101" t="n"/>
      <c r="H41" s="100" t="inlineStr">
        <is>
          <t>Y</t>
        </is>
      </c>
      <c r="I41" s="101" t="n"/>
      <c r="J41" s="101" t="n"/>
      <c r="K41" s="101" t="n"/>
      <c r="L41" s="101" t="n"/>
    </row>
    <row r="42" hidden="1" ht="22.5" customHeight="1" s="108">
      <c r="A42" s="103" t="inlineStr">
        <is>
          <t>Kavindu Udhara</t>
        </is>
      </c>
      <c r="B42" s="97" t="inlineStr">
        <is>
          <t>200603103194</t>
        </is>
      </c>
      <c r="C42" s="97" t="inlineStr">
        <is>
          <t>99948554</t>
        </is>
      </c>
      <c r="D42" s="97" t="inlineStr">
        <is>
          <t>0714282933</t>
        </is>
      </c>
      <c r="E42" s="98" t="inlineStr">
        <is>
          <t>wmkavinduudhara@gmail.com</t>
        </is>
      </c>
      <c r="F42" s="110">
        <f>COUNTIF(G42:N42,"Y")</f>
        <v/>
      </c>
      <c r="G42" s="101" t="n"/>
      <c r="H42" s="100" t="inlineStr">
        <is>
          <t>Y</t>
        </is>
      </c>
      <c r="I42" s="101" t="n"/>
      <c r="J42" s="101" t="n"/>
      <c r="K42" s="100" t="inlineStr">
        <is>
          <t>Y</t>
        </is>
      </c>
      <c r="L42" s="101" t="n"/>
    </row>
    <row r="43" hidden="1" ht="22.5" customHeight="1" s="108">
      <c r="A43" s="103" t="inlineStr">
        <is>
          <t>Jayashan Manodya</t>
        </is>
      </c>
      <c r="B43" s="97" t="inlineStr">
        <is>
          <t>200305901262</t>
        </is>
      </c>
      <c r="C43" s="97" t="n"/>
      <c r="D43" s="97" t="inlineStr">
        <is>
          <t>0764479058</t>
        </is>
      </c>
      <c r="E43" s="98" t="inlineStr">
        <is>
          <t>kpjmp28@gmail.com</t>
        </is>
      </c>
      <c r="F43" s="110">
        <f>COUNTIF(G43:N43,"Y")</f>
        <v/>
      </c>
      <c r="G43" s="101" t="n"/>
      <c r="H43" s="100" t="inlineStr">
        <is>
          <t>Y</t>
        </is>
      </c>
      <c r="I43" s="101" t="n"/>
      <c r="J43" s="101" t="n"/>
      <c r="K43" s="101" t="n"/>
      <c r="L43" s="101" t="n"/>
    </row>
    <row r="44" hidden="1" ht="22.5" customHeight="1" s="108">
      <c r="A44" s="103" t="inlineStr">
        <is>
          <t>Mohamed Liyafutheen Faij Ahamed</t>
        </is>
      </c>
      <c r="B44" s="97" t="inlineStr">
        <is>
          <t>200527401462</t>
        </is>
      </c>
      <c r="C44" s="97" t="n"/>
      <c r="D44" s="97" t="inlineStr">
        <is>
          <t>0754854596</t>
        </is>
      </c>
      <c r="E44" s="98" t="inlineStr">
        <is>
          <t>faijgroups@gmail.com</t>
        </is>
      </c>
      <c r="F44" s="110">
        <f>COUNTIF(G44:N44,"Y")</f>
        <v/>
      </c>
      <c r="G44" s="101" t="n"/>
      <c r="H44" s="100" t="inlineStr">
        <is>
          <t>Y</t>
        </is>
      </c>
      <c r="I44" s="101" t="n"/>
      <c r="J44" s="101" t="n"/>
      <c r="K44" s="101" t="n"/>
      <c r="L44" s="101" t="n"/>
    </row>
    <row r="45" hidden="1" ht="22.5" customHeight="1" s="108">
      <c r="A45" s="103" t="inlineStr">
        <is>
          <t>G. Shazmina Oudeen</t>
        </is>
      </c>
      <c r="B45" s="97" t="inlineStr">
        <is>
          <t>200554204328</t>
        </is>
      </c>
      <c r="C45" s="97" t="inlineStr">
        <is>
          <t>102584776</t>
        </is>
      </c>
      <c r="D45" s="97" t="inlineStr">
        <is>
          <t>0757119305</t>
        </is>
      </c>
      <c r="E45" s="98" t="inlineStr">
        <is>
          <t>shxminaoud@gmail.com</t>
        </is>
      </c>
      <c r="F45" s="110">
        <f>COUNTIF(G45:N45,"Y")</f>
        <v/>
      </c>
      <c r="G45" s="101" t="n"/>
      <c r="H45" s="100" t="inlineStr">
        <is>
          <t>Y</t>
        </is>
      </c>
      <c r="I45" s="100" t="inlineStr">
        <is>
          <t>Y</t>
        </is>
      </c>
      <c r="J45" s="101" t="n"/>
      <c r="K45" s="101" t="n"/>
      <c r="L45" s="101" t="n"/>
      <c r="M45" s="111" t="inlineStr">
        <is>
          <t>Y</t>
        </is>
      </c>
    </row>
    <row r="46" hidden="1" ht="22.5" customHeight="1" s="108">
      <c r="A46" s="103" t="inlineStr">
        <is>
          <t>Kaviyashini Visvalingam</t>
        </is>
      </c>
      <c r="B46" s="97" t="inlineStr">
        <is>
          <t>200584104242</t>
        </is>
      </c>
      <c r="C46" s="97" t="inlineStr">
        <is>
          <t>101618416</t>
        </is>
      </c>
      <c r="D46" s="97" t="inlineStr">
        <is>
          <t>0740114991</t>
        </is>
      </c>
      <c r="E46" s="98" t="inlineStr">
        <is>
          <t>kavi2005yashini@gmail.com</t>
        </is>
      </c>
      <c r="F46" s="110">
        <f>COUNTIF(G46:N46,"Y")</f>
        <v/>
      </c>
      <c r="G46" s="101" t="n"/>
      <c r="H46" s="100" t="inlineStr">
        <is>
          <t>Y</t>
        </is>
      </c>
      <c r="I46" s="100" t="inlineStr">
        <is>
          <t>Y</t>
        </is>
      </c>
      <c r="J46" s="101" t="n"/>
      <c r="K46" s="101" t="n"/>
      <c r="L46" s="101" t="n"/>
    </row>
    <row r="47" hidden="1" ht="22.5" customHeight="1" s="108">
      <c r="A47" s="103" t="inlineStr">
        <is>
          <t>Dinadi Sawanya Kodagoda</t>
        </is>
      </c>
      <c r="B47" s="97" t="inlineStr">
        <is>
          <t>200463400766</t>
        </is>
      </c>
      <c r="C47" s="97" t="n"/>
      <c r="D47" s="97" t="inlineStr">
        <is>
          <t>0702330851</t>
        </is>
      </c>
      <c r="E47" s="98" t="inlineStr">
        <is>
          <t>sawanya@gmail.com</t>
        </is>
      </c>
      <c r="F47" s="110">
        <f>COUNTIF(G47:N47,"Y")</f>
        <v/>
      </c>
      <c r="G47" s="101" t="n"/>
      <c r="H47" s="100" t="inlineStr">
        <is>
          <t>Y</t>
        </is>
      </c>
      <c r="I47" s="101" t="n"/>
      <c r="J47" s="101" t="n"/>
      <c r="K47" s="101" t="n"/>
      <c r="L47" s="101" t="n"/>
    </row>
    <row r="48" hidden="1" ht="22.5" customHeight="1" s="108">
      <c r="A48" s="103" t="inlineStr">
        <is>
          <t>Daham Jayakody</t>
        </is>
      </c>
      <c r="B48" s="97" t="inlineStr">
        <is>
          <t>200210200490</t>
        </is>
      </c>
      <c r="C48" s="97" t="n"/>
      <c r="D48" s="97" t="inlineStr">
        <is>
          <t>0715305954</t>
        </is>
      </c>
      <c r="E48" s="98" t="inlineStr">
        <is>
          <t>dahamjayakodyy@gmail.com</t>
        </is>
      </c>
      <c r="F48" s="110">
        <f>COUNTIF(G48:N48,"Y")</f>
        <v/>
      </c>
      <c r="G48" s="101" t="n"/>
      <c r="H48" s="100" t="inlineStr">
        <is>
          <t>Y</t>
        </is>
      </c>
      <c r="I48" s="101" t="n"/>
      <c r="J48" s="101" t="n"/>
      <c r="K48" s="101" t="n"/>
      <c r="L48" s="101" t="n"/>
      <c r="M48" s="111" t="inlineStr">
        <is>
          <t>Y</t>
        </is>
      </c>
    </row>
    <row r="49" hidden="1" ht="22.5" customHeight="1" s="108">
      <c r="A49" s="103" t="inlineStr">
        <is>
          <t>Rumana Azmi</t>
        </is>
      </c>
      <c r="B49" s="97" t="inlineStr">
        <is>
          <t>200359611125</t>
        </is>
      </c>
      <c r="C49" s="97" t="n"/>
      <c r="D49" s="97" t="inlineStr">
        <is>
          <t>0715946052</t>
        </is>
      </c>
      <c r="E49" s="98" t="inlineStr">
        <is>
          <t>rum4na.azmi@gmail.com</t>
        </is>
      </c>
      <c r="F49" s="110">
        <f>COUNTIF(G49:N49,"Y")</f>
        <v/>
      </c>
      <c r="G49" s="101" t="n"/>
      <c r="H49" s="100" t="inlineStr">
        <is>
          <t>Y</t>
        </is>
      </c>
      <c r="I49" s="101" t="n"/>
      <c r="J49" s="101" t="n"/>
      <c r="K49" s="101" t="n"/>
      <c r="L49" s="101" t="n"/>
    </row>
    <row r="50" hidden="1" ht="22.5" customHeight="1" s="108">
      <c r="A50" s="103" t="inlineStr">
        <is>
          <t>Shafkhan Mohammed</t>
        </is>
      </c>
      <c r="B50" s="97" t="inlineStr">
        <is>
          <t>200432000262</t>
        </is>
      </c>
      <c r="C50" s="97" t="n"/>
      <c r="D50" s="97" t="inlineStr">
        <is>
          <t>0764505146</t>
        </is>
      </c>
      <c r="E50" s="98" t="inlineStr">
        <is>
          <t>shafkhandssc15@gmail.com</t>
        </is>
      </c>
      <c r="F50" s="110">
        <f>COUNTIF(G50:N50,"Y")</f>
        <v/>
      </c>
      <c r="G50" s="101" t="n"/>
      <c r="H50" s="100" t="inlineStr">
        <is>
          <t>Y</t>
        </is>
      </c>
      <c r="I50" s="101" t="n"/>
      <c r="J50" s="101" t="n"/>
      <c r="K50" s="101" t="n"/>
      <c r="L50" s="101" t="n"/>
    </row>
    <row r="51" hidden="1" ht="22.5" customHeight="1" s="108">
      <c r="A51" s="103" t="inlineStr">
        <is>
          <t>Dulithma Heiyanthuduwa</t>
        </is>
      </c>
      <c r="B51" s="97" t="inlineStr">
        <is>
          <t>200482703063</t>
        </is>
      </c>
      <c r="C51" s="97" t="n"/>
      <c r="D51" s="97" t="inlineStr">
        <is>
          <t>0718846865</t>
        </is>
      </c>
      <c r="E51" s="98" t="inlineStr">
        <is>
          <t>hdulithma@gmail.com</t>
        </is>
      </c>
      <c r="F51" s="110">
        <f>COUNTIF(G51:N51,"Y")</f>
        <v/>
      </c>
      <c r="G51" s="101" t="n"/>
      <c r="H51" s="100" t="inlineStr">
        <is>
          <t>Y</t>
        </is>
      </c>
      <c r="I51" s="101" t="n"/>
      <c r="J51" s="101" t="n"/>
      <c r="K51" s="101" t="n"/>
      <c r="L51" s="101" t="n"/>
    </row>
    <row r="52" hidden="1" ht="22.5" customHeight="1" s="108">
      <c r="A52" s="103" t="inlineStr">
        <is>
          <t>Savini Kommalage</t>
        </is>
      </c>
      <c r="B52" s="97" t="inlineStr">
        <is>
          <t>200465903508</t>
        </is>
      </c>
      <c r="C52" s="97" t="n"/>
      <c r="D52" s="97" t="inlineStr">
        <is>
          <t>0765723317</t>
        </is>
      </c>
      <c r="E52" s="98" t="inlineStr">
        <is>
          <t>githarakommalage@gmail.com</t>
        </is>
      </c>
      <c r="F52" s="110">
        <f>COUNTIF(G52:N52,"Y")</f>
        <v/>
      </c>
      <c r="G52" s="101" t="n"/>
      <c r="H52" s="100" t="inlineStr">
        <is>
          <t>Y</t>
        </is>
      </c>
      <c r="I52" s="101" t="n"/>
      <c r="J52" s="101" t="n"/>
      <c r="K52" s="101" t="n"/>
      <c r="L52" s="101" t="n"/>
    </row>
    <row r="53" hidden="1" ht="22.5" customHeight="1" s="108">
      <c r="A53" s="103" t="inlineStr">
        <is>
          <t>Akini Panapitiya</t>
        </is>
      </c>
      <c r="B53" s="97" t="inlineStr">
        <is>
          <t>200377200262</t>
        </is>
      </c>
      <c r="C53" s="97" t="n"/>
      <c r="D53" s="97" t="inlineStr">
        <is>
          <t>0703450059</t>
        </is>
      </c>
      <c r="E53" s="98" t="inlineStr">
        <is>
          <t>panapitiyaakini@gmail.com</t>
        </is>
      </c>
      <c r="F53" s="110">
        <f>COUNTIF(G53:N53,"Y")</f>
        <v/>
      </c>
      <c r="G53" s="101" t="n"/>
      <c r="H53" s="100" t="inlineStr">
        <is>
          <t>Y</t>
        </is>
      </c>
      <c r="I53" s="101" t="n"/>
      <c r="J53" s="101" t="n"/>
      <c r="K53" s="101" t="n"/>
      <c r="L53" s="101" t="n"/>
    </row>
    <row r="54" hidden="1" ht="22.5" customHeight="1" s="108">
      <c r="A54" s="103" t="inlineStr">
        <is>
          <t>Sanjeevsaran Jeyanthan</t>
        </is>
      </c>
      <c r="B54" s="97" t="inlineStr">
        <is>
          <t>200315410842</t>
        </is>
      </c>
      <c r="C54" s="97" t="n"/>
      <c r="D54" s="97" t="inlineStr">
        <is>
          <t>0768976838</t>
        </is>
      </c>
      <c r="E54" s="98" t="inlineStr">
        <is>
          <t>jeyanthansaran@gmail.com</t>
        </is>
      </c>
      <c r="F54" s="110">
        <f>COUNTIF(G54:N54,"Y")</f>
        <v/>
      </c>
      <c r="G54" s="101" t="n"/>
      <c r="H54" s="100" t="inlineStr">
        <is>
          <t>Y</t>
        </is>
      </c>
      <c r="I54" s="101" t="n"/>
      <c r="J54" s="101" t="n"/>
      <c r="K54" s="101" t="n"/>
      <c r="L54" s="101" t="n"/>
    </row>
    <row r="55" ht="22.5" customHeight="1" s="108">
      <c r="A55" s="103" t="inlineStr">
        <is>
          <t>Gimhani Perera</t>
        </is>
      </c>
      <c r="B55" s="97" t="inlineStr">
        <is>
          <t>200471402232</t>
        </is>
      </c>
      <c r="C55" s="97" t="n"/>
      <c r="D55" s="97" t="inlineStr">
        <is>
          <t>0723033233</t>
        </is>
      </c>
      <c r="E55" s="98" t="inlineStr">
        <is>
          <t>gimhaninawodya801@gmail.com</t>
        </is>
      </c>
      <c r="F55" s="110">
        <f>COUNTIF(G55:N55,"Y")</f>
        <v/>
      </c>
      <c r="G55" s="101" t="n"/>
      <c r="H55" s="100" t="inlineStr">
        <is>
          <t>Y</t>
        </is>
      </c>
      <c r="I55" s="101" t="n"/>
      <c r="J55" s="101" t="n"/>
      <c r="K55" s="101" t="n"/>
      <c r="L55" s="100" t="inlineStr">
        <is>
          <t>Y</t>
        </is>
      </c>
    </row>
    <row r="56" hidden="1" ht="22.5" customHeight="1" s="108">
      <c r="A56" s="103" t="inlineStr">
        <is>
          <t>Vaanushan V</t>
        </is>
      </c>
      <c r="B56" s="97" t="inlineStr">
        <is>
          <t>200526801753</t>
        </is>
      </c>
      <c r="C56" s="97" t="n"/>
      <c r="D56" s="97" t="inlineStr">
        <is>
          <t>0765384010</t>
        </is>
      </c>
      <c r="E56" s="98" t="inlineStr">
        <is>
          <t>vaanushanv06@gmail.com</t>
        </is>
      </c>
      <c r="F56" s="110">
        <f>COUNTIF(G56:N56,"Y")</f>
        <v/>
      </c>
      <c r="G56" s="101" t="n"/>
      <c r="H56" s="100" t="inlineStr">
        <is>
          <t>Y</t>
        </is>
      </c>
      <c r="I56" s="101" t="n"/>
      <c r="J56" s="101" t="n"/>
      <c r="K56" s="101" t="n"/>
      <c r="L56" s="101" t="n"/>
    </row>
    <row r="57" hidden="1" ht="22.5" customHeight="1" s="108">
      <c r="A57" s="103" t="inlineStr">
        <is>
          <t>Asven</t>
        </is>
      </c>
      <c r="B57" s="97" t="inlineStr">
        <is>
          <t>200523900961</t>
        </is>
      </c>
      <c r="C57" s="97" t="n"/>
      <c r="D57" s="97" t="inlineStr">
        <is>
          <t>0766514423</t>
        </is>
      </c>
      <c r="E57" s="98" t="inlineStr">
        <is>
          <t>ashwinsharmaroc@gmail.com</t>
        </is>
      </c>
      <c r="F57" s="110">
        <f>COUNTIF(G57:N57,"Y")</f>
        <v/>
      </c>
      <c r="G57" s="101" t="n"/>
      <c r="H57" s="100" t="inlineStr">
        <is>
          <t>Y</t>
        </is>
      </c>
      <c r="I57" s="101" t="n"/>
      <c r="J57" s="101" t="n"/>
      <c r="K57" s="101" t="n"/>
      <c r="L57" s="101" t="n"/>
    </row>
    <row r="58" hidden="1" ht="22.5" customHeight="1" s="108">
      <c r="A58" s="103" t="inlineStr">
        <is>
          <t>Abdur Rahman Zaheem</t>
        </is>
      </c>
      <c r="B58" s="97" t="inlineStr">
        <is>
          <t>200409114658</t>
        </is>
      </c>
      <c r="C58" s="97" t="n"/>
      <c r="D58" s="97" t="inlineStr">
        <is>
          <t>0727395823</t>
        </is>
      </c>
      <c r="E58" s="98" t="inlineStr">
        <is>
          <t>ar186870@gmail.com</t>
        </is>
      </c>
      <c r="F58" s="110">
        <f>COUNTIF(G58:N58,"Y")</f>
        <v/>
      </c>
      <c r="G58" s="101" t="n"/>
      <c r="H58" s="100" t="inlineStr">
        <is>
          <t>Y</t>
        </is>
      </c>
      <c r="I58" s="101" t="n"/>
      <c r="J58" s="101" t="n"/>
      <c r="K58" s="101" t="n"/>
      <c r="L58" s="101" t="n"/>
    </row>
    <row r="59" ht="22.5" customHeight="1" s="108">
      <c r="A59" s="103" t="inlineStr">
        <is>
          <t>Yeshan K P</t>
        </is>
      </c>
      <c r="B59" s="97" t="inlineStr">
        <is>
          <t>200415600679</t>
        </is>
      </c>
      <c r="C59" s="97" t="n"/>
      <c r="D59" s="97" t="inlineStr">
        <is>
          <t>0766035565</t>
        </is>
      </c>
      <c r="E59" s="98" t="inlineStr">
        <is>
          <t>online.yeshankp@gmail.com</t>
        </is>
      </c>
      <c r="F59" s="110">
        <f>COUNTIF(G59:N59,"Y")</f>
        <v/>
      </c>
      <c r="G59" s="101" t="n"/>
      <c r="H59" s="100" t="inlineStr">
        <is>
          <t>Y</t>
        </is>
      </c>
      <c r="I59" s="101" t="n"/>
      <c r="J59" s="101" t="n"/>
      <c r="K59" s="101" t="n"/>
      <c r="L59" s="100" t="inlineStr">
        <is>
          <t>Y</t>
        </is>
      </c>
    </row>
    <row r="60" hidden="1" ht="22.5" customHeight="1" s="108">
      <c r="A60" s="103" t="inlineStr">
        <is>
          <t>Shazna Muees</t>
        </is>
      </c>
      <c r="B60" s="97" t="inlineStr">
        <is>
          <t>200180200837</t>
        </is>
      </c>
      <c r="C60" s="97" t="n"/>
      <c r="D60" s="97" t="inlineStr">
        <is>
          <t>0754460369</t>
        </is>
      </c>
      <c r="E60" s="98" t="inlineStr">
        <is>
          <t>shazna.muees1@gmail.com</t>
        </is>
      </c>
      <c r="F60" s="110">
        <f>COUNTIF(G60:N60,"Y")</f>
        <v/>
      </c>
      <c r="G60" s="101" t="n"/>
      <c r="H60" s="100" t="inlineStr">
        <is>
          <t>Y</t>
        </is>
      </c>
      <c r="I60" s="101" t="n"/>
      <c r="J60" s="101" t="n"/>
      <c r="K60" s="101" t="n"/>
      <c r="L60" s="101" t="n"/>
    </row>
    <row r="61" hidden="1" ht="22.5" customHeight="1" s="108">
      <c r="A61" s="103" t="inlineStr">
        <is>
          <t>Chanjugaa Rasamohan</t>
        </is>
      </c>
      <c r="B61" s="97" t="inlineStr">
        <is>
          <t>200386612676</t>
        </is>
      </c>
      <c r="C61" s="97" t="n"/>
      <c r="D61" s="97" t="inlineStr">
        <is>
          <t>0740194571</t>
        </is>
      </c>
      <c r="E61" s="98" t="inlineStr">
        <is>
          <t>chanjumohan583@gmail.com</t>
        </is>
      </c>
      <c r="F61" s="110">
        <f>COUNTIF(G61:N61,"Y")</f>
        <v/>
      </c>
      <c r="G61" s="101" t="n"/>
      <c r="H61" s="100" t="inlineStr">
        <is>
          <t>Y</t>
        </is>
      </c>
      <c r="I61" s="101" t="n"/>
      <c r="J61" s="101" t="n"/>
      <c r="K61" s="101" t="n"/>
      <c r="L61" s="101" t="n"/>
    </row>
    <row r="62" hidden="1" ht="22.5" customHeight="1" s="108">
      <c r="A62" s="103" t="inlineStr">
        <is>
          <t>Sumudu Mudunayana</t>
        </is>
      </c>
      <c r="B62" s="97" t="inlineStr">
        <is>
          <t>200335010660</t>
        </is>
      </c>
      <c r="C62" s="97" t="n"/>
      <c r="D62" s="97" t="inlineStr">
        <is>
          <t>0761888026</t>
        </is>
      </c>
      <c r="E62" s="98" t="inlineStr">
        <is>
          <t>mudunayanamihigurathna@gmail.com</t>
        </is>
      </c>
      <c r="F62" s="110">
        <f>COUNTIF(G62:N62,"Y")</f>
        <v/>
      </c>
      <c r="G62" s="101" t="n"/>
      <c r="H62" s="100" t="inlineStr">
        <is>
          <t>Y</t>
        </is>
      </c>
      <c r="I62" s="101" t="n"/>
      <c r="J62" s="101" t="n"/>
      <c r="K62" s="101" t="n"/>
      <c r="L62" s="101" t="n"/>
    </row>
    <row r="63" hidden="1" ht="22.5" customHeight="1" s="108">
      <c r="A63" s="103" t="inlineStr">
        <is>
          <t>Nethmi Weherawatta</t>
        </is>
      </c>
      <c r="B63" s="97" t="inlineStr">
        <is>
          <t>200268502914</t>
        </is>
      </c>
      <c r="C63" s="97" t="n"/>
      <c r="D63" s="97" t="inlineStr">
        <is>
          <t>0702644651</t>
        </is>
      </c>
      <c r="E63" s="98" t="inlineStr">
        <is>
          <t>nethmin703@gmail.com</t>
        </is>
      </c>
      <c r="F63" s="110">
        <f>COUNTIF(G63:N63,"Y")</f>
        <v/>
      </c>
      <c r="G63" s="101" t="n"/>
      <c r="H63" s="100" t="inlineStr">
        <is>
          <t>Y</t>
        </is>
      </c>
      <c r="I63" s="101" t="n"/>
      <c r="J63" s="101" t="n"/>
      <c r="K63" s="101" t="n"/>
      <c r="L63" s="101" t="n"/>
    </row>
    <row r="64" hidden="1" ht="22.5" customHeight="1" s="108">
      <c r="A64" s="103" t="inlineStr">
        <is>
          <t>Thavisha Dewmith</t>
        </is>
      </c>
      <c r="B64" s="97" t="inlineStr">
        <is>
          <t>200435001769</t>
        </is>
      </c>
      <c r="C64" s="97" t="n"/>
      <c r="D64" s="97" t="inlineStr">
        <is>
          <t>0716293391</t>
        </is>
      </c>
      <c r="E64" s="98" t="inlineStr">
        <is>
          <t>thavishawimalarathne7@gmail.com</t>
        </is>
      </c>
      <c r="F64" s="110">
        <f>COUNTIF(G64:N64,"Y")</f>
        <v/>
      </c>
      <c r="G64" s="101" t="n"/>
      <c r="H64" s="100" t="inlineStr">
        <is>
          <t>Y</t>
        </is>
      </c>
      <c r="I64" s="101" t="n"/>
      <c r="J64" s="101" t="n"/>
      <c r="K64" s="101" t="n"/>
      <c r="L64" s="101" t="n"/>
    </row>
    <row r="65" hidden="1" ht="22.5" customHeight="1" s="108">
      <c r="A65" s="103" t="inlineStr">
        <is>
          <t>Anbuchselvan Sharvessh Ala.</t>
        </is>
      </c>
      <c r="B65" s="97" t="inlineStr">
        <is>
          <t>200504203358</t>
        </is>
      </c>
      <c r="C65" s="97" t="inlineStr">
        <is>
          <t>102238110</t>
        </is>
      </c>
      <c r="D65" s="97" t="inlineStr">
        <is>
          <t>0771432469</t>
        </is>
      </c>
      <c r="E65" s="98" t="inlineStr">
        <is>
          <t>it25103183@my.sliit.lk</t>
        </is>
      </c>
      <c r="F65" s="110">
        <f>COUNTIF(G65:N65,"Y")</f>
        <v/>
      </c>
      <c r="G65" s="101" t="n"/>
      <c r="H65" s="100" t="inlineStr">
        <is>
          <t>Y</t>
        </is>
      </c>
      <c r="I65" s="100" t="inlineStr">
        <is>
          <t>Y</t>
        </is>
      </c>
      <c r="J65" s="100" t="inlineStr">
        <is>
          <t>Y</t>
        </is>
      </c>
      <c r="K65" s="101" t="n"/>
      <c r="L65" s="101" t="n"/>
      <c r="M65" s="111" t="inlineStr">
        <is>
          <t>Y</t>
        </is>
      </c>
    </row>
    <row r="66" hidden="1" ht="22.5" customHeight="1" s="108">
      <c r="A66" s="103" t="inlineStr">
        <is>
          <t>Nipun Kuruvitage</t>
        </is>
      </c>
      <c r="B66" s="97" t="inlineStr">
        <is>
          <t>200231102812</t>
        </is>
      </c>
      <c r="C66" s="97" t="n"/>
      <c r="D66" s="97" t="inlineStr">
        <is>
          <t>0770794058</t>
        </is>
      </c>
      <c r="E66" s="98" t="inlineStr">
        <is>
          <t>nipundthilanka2246@gmail.com</t>
        </is>
      </c>
      <c r="F66" s="110">
        <f>COUNTIF(G66:N66,"Y")</f>
        <v/>
      </c>
      <c r="G66" s="101" t="n"/>
      <c r="H66" s="100" t="inlineStr">
        <is>
          <t>Y</t>
        </is>
      </c>
      <c r="I66" s="101" t="n"/>
      <c r="J66" s="101" t="n"/>
      <c r="K66" s="101" t="n"/>
      <c r="L66" s="101" t="n"/>
    </row>
    <row r="67" hidden="1" ht="22.5" customHeight="1" s="108">
      <c r="A67" s="103" t="inlineStr">
        <is>
          <t>Dulni Geha</t>
        </is>
      </c>
      <c r="B67" s="97" t="inlineStr">
        <is>
          <t>200563201476</t>
        </is>
      </c>
      <c r="C67" s="97" t="inlineStr">
        <is>
          <t>102570326</t>
        </is>
      </c>
      <c r="D67" s="97" t="inlineStr">
        <is>
          <t>0704306547</t>
        </is>
      </c>
      <c r="E67" s="98" t="inlineStr">
        <is>
          <t>dulni3s@gmail.com</t>
        </is>
      </c>
      <c r="F67" s="110">
        <f>COUNTIF(G67:N67,"Y")</f>
        <v/>
      </c>
      <c r="G67" s="101" t="n"/>
      <c r="H67" s="100" t="inlineStr">
        <is>
          <t>Y</t>
        </is>
      </c>
      <c r="I67" s="100" t="inlineStr">
        <is>
          <t>Y</t>
        </is>
      </c>
      <c r="J67" s="100" t="inlineStr">
        <is>
          <t>Y</t>
        </is>
      </c>
      <c r="K67" s="101" t="n"/>
      <c r="L67" s="101" t="n"/>
    </row>
    <row r="68" hidden="1" ht="22.5" customHeight="1" s="108">
      <c r="A68" s="103" t="inlineStr">
        <is>
          <t>Mihijith Panagoda</t>
        </is>
      </c>
      <c r="B68" s="97" t="inlineStr">
        <is>
          <t>20032571134</t>
        </is>
      </c>
      <c r="C68" s="97" t="n"/>
      <c r="D68" s="97" t="inlineStr">
        <is>
          <t>0778647669</t>
        </is>
      </c>
      <c r="E68" s="98" t="inlineStr">
        <is>
          <t>mihijith.panagoda@gmail.com</t>
        </is>
      </c>
      <c r="F68" s="110">
        <f>COUNTIF(G68:N68,"Y")</f>
        <v/>
      </c>
      <c r="G68" s="101" t="n"/>
      <c r="H68" s="100" t="inlineStr">
        <is>
          <t>Y</t>
        </is>
      </c>
      <c r="I68" s="101" t="n"/>
      <c r="J68" s="101" t="n"/>
      <c r="K68" s="101" t="n"/>
      <c r="L68" s="101" t="n"/>
    </row>
    <row r="69" hidden="1" ht="22.5" customHeight="1" s="108">
      <c r="A69" s="103" t="inlineStr">
        <is>
          <t>Chathuni Lelwala</t>
        </is>
      </c>
      <c r="B69" s="97" t="inlineStr">
        <is>
          <t>200176701370</t>
        </is>
      </c>
      <c r="C69" s="97" t="n"/>
      <c r="D69" s="97" t="inlineStr">
        <is>
          <t>0719174257</t>
        </is>
      </c>
      <c r="E69" s="98" t="inlineStr">
        <is>
          <t>chathuniyasassri@gmail.com</t>
        </is>
      </c>
      <c r="F69" s="110">
        <f>COUNTIF(G69:N69,"Y")</f>
        <v/>
      </c>
      <c r="G69" s="101" t="n"/>
      <c r="H69" s="100" t="inlineStr">
        <is>
          <t>Y</t>
        </is>
      </c>
      <c r="I69" s="101" t="n"/>
      <c r="J69" s="101" t="n"/>
      <c r="K69" s="101" t="n"/>
      <c r="L69" s="101" t="n"/>
    </row>
    <row r="70" hidden="1" ht="22.5" customHeight="1" s="108">
      <c r="A70" s="103" t="inlineStr">
        <is>
          <t>Tharindu Wijerathna</t>
        </is>
      </c>
      <c r="B70" s="97" t="inlineStr">
        <is>
          <t>200420803939</t>
        </is>
      </c>
      <c r="C70" s="97" t="inlineStr">
        <is>
          <t>102461187</t>
        </is>
      </c>
      <c r="D70" s="97" t="inlineStr">
        <is>
          <t>0740976916</t>
        </is>
      </c>
      <c r="E70" s="98" t="inlineStr">
        <is>
          <t>wijerathna.dev.2004@gmail.com</t>
        </is>
      </c>
      <c r="F70" s="110">
        <f>COUNTIF(G70:N70,"Y")</f>
        <v/>
      </c>
      <c r="G70" s="101" t="n"/>
      <c r="H70" s="100" t="inlineStr">
        <is>
          <t>Y</t>
        </is>
      </c>
      <c r="I70" s="100" t="inlineStr">
        <is>
          <t>Y</t>
        </is>
      </c>
      <c r="J70" s="101" t="n"/>
      <c r="K70" s="101" t="n"/>
      <c r="L70" s="101" t="n"/>
      <c r="M70" s="111" t="inlineStr">
        <is>
          <t>Y</t>
        </is>
      </c>
    </row>
    <row r="71" hidden="1" ht="22.5" customHeight="1" s="108">
      <c r="A71" s="103" t="inlineStr">
        <is>
          <t>Sisina Gunasekara</t>
        </is>
      </c>
      <c r="B71" s="97" t="inlineStr">
        <is>
          <t>200509301019</t>
        </is>
      </c>
      <c r="C71" s="97" t="inlineStr">
        <is>
          <t>102570196</t>
        </is>
      </c>
      <c r="D71" s="97" t="inlineStr">
        <is>
          <t>0756318740</t>
        </is>
      </c>
      <c r="E71" s="98" t="inlineStr">
        <is>
          <t>sisinagunasekara@gmail.com</t>
        </is>
      </c>
      <c r="F71" s="110">
        <f>COUNTIF(G71:N71,"Y")</f>
        <v/>
      </c>
      <c r="G71" s="101" t="n"/>
      <c r="H71" s="100" t="inlineStr">
        <is>
          <t>Y</t>
        </is>
      </c>
      <c r="I71" s="100" t="inlineStr">
        <is>
          <t>Y</t>
        </is>
      </c>
      <c r="J71" s="101" t="n"/>
      <c r="K71" s="101" t="n"/>
      <c r="L71" s="101" t="n"/>
      <c r="M71" s="111" t="inlineStr">
        <is>
          <t>Y</t>
        </is>
      </c>
    </row>
    <row r="72" hidden="1" ht="22.5" customHeight="1" s="108">
      <c r="A72" s="103" t="inlineStr">
        <is>
          <t>Dihini Galappaththi</t>
        </is>
      </c>
      <c r="B72" s="97" t="inlineStr">
        <is>
          <t>200357510078</t>
        </is>
      </c>
      <c r="C72" s="97" t="n"/>
      <c r="D72" s="97" t="inlineStr">
        <is>
          <t>0702101128</t>
        </is>
      </c>
      <c r="E72" s="98" t="inlineStr">
        <is>
          <t>dgalappaththi.20@gmail.com</t>
        </is>
      </c>
      <c r="F72" s="110">
        <f>COUNTIF(G72:N72,"Y")</f>
        <v/>
      </c>
      <c r="G72" s="101" t="n"/>
      <c r="H72" s="100" t="inlineStr">
        <is>
          <t>Y</t>
        </is>
      </c>
      <c r="I72" s="101" t="n"/>
      <c r="J72" s="101" t="n"/>
      <c r="K72" s="101" t="n"/>
      <c r="L72" s="101" t="n"/>
    </row>
    <row r="73" hidden="1" ht="22.5" customHeight="1" s="108">
      <c r="A73" s="103" t="inlineStr">
        <is>
          <t>Achin Chandrasiri</t>
        </is>
      </c>
      <c r="B73" s="97" t="inlineStr">
        <is>
          <t>200418402380</t>
        </is>
      </c>
      <c r="C73" s="97" t="inlineStr">
        <is>
          <t>101026364</t>
        </is>
      </c>
      <c r="D73" s="97" t="inlineStr">
        <is>
          <t>0714020860</t>
        </is>
      </c>
      <c r="E73" s="98" t="inlineStr">
        <is>
          <t>achinchandrasiri@gmail.com</t>
        </is>
      </c>
      <c r="F73" s="110">
        <f>COUNTIF(G73:N73,"Y")</f>
        <v/>
      </c>
      <c r="G73" s="101" t="n"/>
      <c r="H73" s="100" t="inlineStr">
        <is>
          <t>Y</t>
        </is>
      </c>
      <c r="I73" s="101" t="n"/>
      <c r="J73" s="101" t="n"/>
      <c r="K73" s="100" t="inlineStr">
        <is>
          <t>Y</t>
        </is>
      </c>
      <c r="L73" s="101" t="n"/>
    </row>
    <row r="74" hidden="1" ht="22.5" customHeight="1" s="108">
      <c r="A74" s="103" t="inlineStr">
        <is>
          <t>Kahil Cuttilan</t>
        </is>
      </c>
      <c r="B74" s="97" t="inlineStr">
        <is>
          <t>200635603949</t>
        </is>
      </c>
      <c r="C74" s="97" t="inlineStr">
        <is>
          <t>102543953</t>
        </is>
      </c>
      <c r="D74" s="97" t="inlineStr">
        <is>
          <t>0768448498</t>
        </is>
      </c>
      <c r="E74" s="98" t="inlineStr">
        <is>
          <t>kahilzaman@gmail.com</t>
        </is>
      </c>
      <c r="F74" s="110">
        <f>COUNTIF(G74:N74,"Y")</f>
        <v/>
      </c>
      <c r="G74" s="101" t="n"/>
      <c r="H74" s="100" t="inlineStr">
        <is>
          <t>Y</t>
        </is>
      </c>
      <c r="I74" s="100" t="inlineStr">
        <is>
          <t>Y</t>
        </is>
      </c>
      <c r="J74" s="100" t="inlineStr">
        <is>
          <t>Y</t>
        </is>
      </c>
      <c r="K74" s="101" t="n"/>
      <c r="L74" s="101" t="n"/>
    </row>
    <row r="75" hidden="1" ht="22.5" customHeight="1" s="108">
      <c r="A75" s="103" t="inlineStr">
        <is>
          <t>Amani Jaufer</t>
        </is>
      </c>
      <c r="B75" s="97" t="inlineStr">
        <is>
          <t>200368811176</t>
        </is>
      </c>
      <c r="C75" s="97" t="n"/>
      <c r="D75" s="97" t="inlineStr">
        <is>
          <t>0743183632</t>
        </is>
      </c>
      <c r="E75" s="98" t="inlineStr">
        <is>
          <t>amanijfofficial@gmail.com</t>
        </is>
      </c>
      <c r="F75" s="110">
        <f>COUNTIF(G75:N75,"Y")</f>
        <v/>
      </c>
      <c r="G75" s="101" t="n"/>
      <c r="H75" s="100" t="inlineStr">
        <is>
          <t>Y</t>
        </is>
      </c>
      <c r="I75" s="101" t="n"/>
      <c r="J75" s="101" t="n"/>
      <c r="K75" s="101" t="n"/>
      <c r="L75" s="101" t="n"/>
    </row>
    <row r="76" hidden="1" ht="22.5" customHeight="1" s="108">
      <c r="A76" s="103" t="inlineStr">
        <is>
          <t>Navida Manawadu</t>
        </is>
      </c>
      <c r="B76" s="97" t="inlineStr">
        <is>
          <t>200419100378</t>
        </is>
      </c>
      <c r="C76" s="97" t="n"/>
      <c r="D76" s="97" t="inlineStr">
        <is>
          <t>0705805305</t>
        </is>
      </c>
      <c r="E76" s="98" t="inlineStr">
        <is>
          <t>navidamanawadu12@gmail.com</t>
        </is>
      </c>
      <c r="F76" s="110">
        <f>COUNTIF(G76:N76,"Y")</f>
        <v/>
      </c>
      <c r="G76" s="101" t="n"/>
      <c r="H76" s="101" t="n"/>
      <c r="I76" s="100" t="inlineStr">
        <is>
          <t>Y</t>
        </is>
      </c>
      <c r="J76" s="101" t="n"/>
      <c r="K76" s="101" t="n"/>
      <c r="L76" s="101" t="n"/>
    </row>
    <row r="77" hidden="1" ht="22.5" customHeight="1" s="108">
      <c r="A77" s="103" t="inlineStr">
        <is>
          <t>Lasindu Mihisara</t>
        </is>
      </c>
      <c r="B77" s="97" t="inlineStr">
        <is>
          <t>200235103264</t>
        </is>
      </c>
      <c r="C77" s="97" t="n"/>
      <c r="D77" s="97" t="inlineStr">
        <is>
          <t>0761237116</t>
        </is>
      </c>
      <c r="E77" s="98" t="inlineStr">
        <is>
          <t>mihisaralasindu45@gmail.com</t>
        </is>
      </c>
      <c r="F77" s="110">
        <f>COUNTIF(G77:N77,"Y")</f>
        <v/>
      </c>
      <c r="G77" s="101" t="n"/>
      <c r="H77" s="101" t="n"/>
      <c r="I77" s="100" t="inlineStr">
        <is>
          <t>Y</t>
        </is>
      </c>
      <c r="J77" s="101" t="n"/>
      <c r="K77" s="101" t="n"/>
      <c r="L77" s="101" t="n"/>
    </row>
    <row r="78" hidden="1" ht="22.5" customHeight="1" s="108">
      <c r="A78" s="103" t="inlineStr">
        <is>
          <t>Sanjana Gurusinghe</t>
        </is>
      </c>
      <c r="B78" s="97" t="inlineStr">
        <is>
          <t>200424300280</t>
        </is>
      </c>
      <c r="C78" s="97" t="n"/>
      <c r="D78" s="97" t="inlineStr">
        <is>
          <t>0714379981</t>
        </is>
      </c>
      <c r="E78" s="98" t="inlineStr">
        <is>
          <t>en25300524@my.sliit.lk</t>
        </is>
      </c>
      <c r="F78" s="110">
        <f>COUNTIF(G78:N78,"Y")</f>
        <v/>
      </c>
      <c r="G78" s="101" t="n"/>
      <c r="H78" s="101" t="n"/>
      <c r="I78" s="100" t="inlineStr">
        <is>
          <t>Y</t>
        </is>
      </c>
      <c r="J78" s="101" t="n"/>
      <c r="K78" s="101" t="n"/>
      <c r="L78" s="101" t="n"/>
    </row>
    <row r="79" hidden="1" ht="22.5" customHeight="1" s="108">
      <c r="A79" s="103" t="inlineStr">
        <is>
          <t>Kaveesha Anujith</t>
        </is>
      </c>
      <c r="B79" s="97" t="inlineStr">
        <is>
          <t>200400611450</t>
        </is>
      </c>
      <c r="C79" s="97" t="inlineStr">
        <is>
          <t>102543802</t>
        </is>
      </c>
      <c r="D79" s="97" t="inlineStr">
        <is>
          <t>0781646772</t>
        </is>
      </c>
      <c r="E79" s="98" t="inlineStr">
        <is>
          <t>tgkanujith@gmail.com</t>
        </is>
      </c>
      <c r="F79" s="110">
        <f>COUNTIF(G79:N79,"Y")</f>
        <v/>
      </c>
      <c r="G79" s="101" t="n"/>
      <c r="H79" s="101" t="n"/>
      <c r="I79" s="100" t="inlineStr">
        <is>
          <t>Y</t>
        </is>
      </c>
      <c r="J79" s="100" t="inlineStr">
        <is>
          <t>Y</t>
        </is>
      </c>
      <c r="K79" s="101" t="n"/>
      <c r="L79" s="101" t="n"/>
      <c r="M79" s="111" t="inlineStr">
        <is>
          <t>Y</t>
        </is>
      </c>
    </row>
    <row r="80" hidden="1" ht="22.5" customHeight="1" s="108">
      <c r="A80" s="103" t="inlineStr">
        <is>
          <t>Minod Banda</t>
        </is>
      </c>
      <c r="B80" s="97" t="inlineStr">
        <is>
          <t>200335800113</t>
        </is>
      </c>
      <c r="C80" s="97" t="n"/>
      <c r="D80" s="97" t="inlineStr">
        <is>
          <t>0762346023</t>
        </is>
      </c>
      <c r="E80" s="98" t="inlineStr">
        <is>
          <t>minodherath@gmail.com</t>
        </is>
      </c>
      <c r="F80" s="110">
        <f>COUNTIF(G80:N80,"Y")</f>
        <v/>
      </c>
      <c r="G80" s="101" t="n"/>
      <c r="H80" s="101" t="n"/>
      <c r="I80" s="100" t="inlineStr">
        <is>
          <t>Y</t>
        </is>
      </c>
      <c r="J80" s="101" t="n"/>
      <c r="K80" s="101" t="n"/>
      <c r="L80" s="101" t="n"/>
    </row>
    <row r="81" hidden="1" ht="22.5" customHeight="1" s="108">
      <c r="A81" s="103" t="inlineStr">
        <is>
          <t>Methul Kenula</t>
        </is>
      </c>
      <c r="B81" s="97" t="inlineStr">
        <is>
          <t>200515203003</t>
        </is>
      </c>
      <c r="C81" s="97" t="n"/>
      <c r="D81" s="97" t="inlineStr">
        <is>
          <t>0740174408</t>
        </is>
      </c>
      <c r="E81" s="98" t="inlineStr">
        <is>
          <t>methulkenulav@gmail.com</t>
        </is>
      </c>
      <c r="F81" s="110">
        <f>COUNTIF(G81:N81,"Y")</f>
        <v/>
      </c>
      <c r="G81" s="101" t="n"/>
      <c r="H81" s="101" t="n"/>
      <c r="I81" s="100" t="inlineStr">
        <is>
          <t>Y</t>
        </is>
      </c>
      <c r="J81" s="101" t="n"/>
      <c r="K81" s="101" t="n"/>
      <c r="L81" s="101" t="n"/>
    </row>
    <row r="82" hidden="1" ht="22.5" customHeight="1" s="108">
      <c r="A82" s="103" t="inlineStr">
        <is>
          <t>Dulitha Shakya</t>
        </is>
      </c>
      <c r="B82" s="97" t="inlineStr">
        <is>
          <t>200328312553</t>
        </is>
      </c>
      <c r="C82" s="97" t="n"/>
      <c r="D82" s="97" t="inlineStr">
        <is>
          <t>0702313512</t>
        </is>
      </c>
      <c r="E82" s="98" t="inlineStr">
        <is>
          <t>dulithashakya@gmail.com</t>
        </is>
      </c>
      <c r="F82" s="110">
        <f>COUNTIF(G82:N82,"Y")</f>
        <v/>
      </c>
      <c r="G82" s="101" t="n"/>
      <c r="H82" s="101" t="n"/>
      <c r="I82" s="100" t="inlineStr">
        <is>
          <t>Y</t>
        </is>
      </c>
      <c r="J82" s="101" t="n"/>
      <c r="K82" s="101" t="n"/>
      <c r="L82" s="101" t="n"/>
    </row>
    <row r="83" hidden="1" ht="22.5" customHeight="1" s="108">
      <c r="A83" s="103" t="inlineStr">
        <is>
          <t>Chrismal Ranasinghe</t>
        </is>
      </c>
      <c r="B83" s="97" t="inlineStr">
        <is>
          <t>200606603039</t>
        </is>
      </c>
      <c r="C83" s="97" t="n"/>
      <c r="D83" s="97" t="inlineStr">
        <is>
          <t>0765648097</t>
        </is>
      </c>
      <c r="E83" s="98" t="inlineStr">
        <is>
          <t>chrismalranasinghe2006@gmail.com</t>
        </is>
      </c>
      <c r="F83" s="110">
        <f>COUNTIF(G83:N83,"Y")</f>
        <v/>
      </c>
      <c r="G83" s="101" t="n"/>
      <c r="H83" s="101" t="n"/>
      <c r="I83" s="100" t="inlineStr">
        <is>
          <t>Y</t>
        </is>
      </c>
      <c r="J83" s="101" t="n"/>
      <c r="K83" s="101" t="n"/>
      <c r="L83" s="101" t="n"/>
    </row>
    <row r="84" hidden="1" ht="22.5" customHeight="1" s="108">
      <c r="A84" s="103" t="inlineStr">
        <is>
          <t>Vishwa Kumararathna</t>
        </is>
      </c>
      <c r="B84" s="97" t="inlineStr">
        <is>
          <t>200235002610</t>
        </is>
      </c>
      <c r="C84" s="97" t="inlineStr">
        <is>
          <t>102623563</t>
        </is>
      </c>
      <c r="D84" s="97" t="inlineStr">
        <is>
          <t>0773532641</t>
        </is>
      </c>
      <c r="E84" s="98" t="inlineStr">
        <is>
          <t>vbkumararathna20@gmail.com</t>
        </is>
      </c>
      <c r="F84" s="110">
        <f>COUNTIF(G84:N84,"Y")</f>
        <v/>
      </c>
      <c r="G84" s="101" t="n"/>
      <c r="H84" s="101" t="n"/>
      <c r="I84" s="100" t="inlineStr">
        <is>
          <t>Y</t>
        </is>
      </c>
      <c r="J84" s="101" t="n"/>
      <c r="K84" s="101" t="n"/>
      <c r="L84" s="101" t="n"/>
    </row>
    <row r="85" hidden="1" ht="22.5" customHeight="1" s="108">
      <c r="A85" s="103" t="inlineStr">
        <is>
          <t>Shanuk Silva</t>
        </is>
      </c>
      <c r="B85" s="97" t="inlineStr">
        <is>
          <t>200419001212</t>
        </is>
      </c>
      <c r="C85" s="97" t="inlineStr">
        <is>
          <t>102576393</t>
        </is>
      </c>
      <c r="D85" s="97" t="inlineStr">
        <is>
          <t>0765596356</t>
        </is>
      </c>
      <c r="E85" s="98" t="inlineStr">
        <is>
          <t>shanuk.silva50@gmail.com</t>
        </is>
      </c>
      <c r="F85" s="110">
        <f>COUNTIF(G85:N85,"Y")</f>
        <v/>
      </c>
      <c r="G85" s="101" t="n"/>
      <c r="H85" s="101" t="n"/>
      <c r="I85" s="100" t="inlineStr">
        <is>
          <t>Y</t>
        </is>
      </c>
      <c r="J85" s="101" t="n"/>
      <c r="K85" s="101" t="n"/>
      <c r="L85" s="101" t="n"/>
      <c r="M85" s="111" t="inlineStr">
        <is>
          <t>Y</t>
        </is>
      </c>
    </row>
    <row r="86" hidden="1" ht="22.5" customHeight="1" s="108">
      <c r="A86" s="103" t="inlineStr">
        <is>
          <t>Yumal Lakmitha</t>
        </is>
      </c>
      <c r="B86" s="97" t="inlineStr">
        <is>
          <t>200528301178</t>
        </is>
      </c>
      <c r="C86" s="97" t="inlineStr">
        <is>
          <t>102237850</t>
        </is>
      </c>
      <c r="D86" s="97" t="inlineStr">
        <is>
          <t>0779358820</t>
        </is>
      </c>
      <c r="E86" s="98" t="inlineStr">
        <is>
          <t>yumallakmitha@gmail.com</t>
        </is>
      </c>
      <c r="F86" s="110">
        <f>COUNTIF(G86:N86,"Y")</f>
        <v/>
      </c>
      <c r="G86" s="101" t="n"/>
      <c r="H86" s="101" t="n"/>
      <c r="I86" s="100" t="inlineStr">
        <is>
          <t>Y</t>
        </is>
      </c>
      <c r="J86" s="100" t="inlineStr">
        <is>
          <t>Y</t>
        </is>
      </c>
      <c r="K86" s="101" t="n"/>
      <c r="L86" s="101" t="n"/>
    </row>
    <row r="87" hidden="1" ht="22.5" customHeight="1" s="108">
      <c r="A87" s="103" t="inlineStr">
        <is>
          <t>Sahan Nethumina</t>
        </is>
      </c>
      <c r="B87" s="97" t="inlineStr">
        <is>
          <t>200319913103</t>
        </is>
      </c>
      <c r="C87" s="97" t="inlineStr">
        <is>
          <t>102544409</t>
        </is>
      </c>
      <c r="D87" s="97" t="inlineStr">
        <is>
          <t>0717246685</t>
        </is>
      </c>
      <c r="E87" s="98" t="inlineStr">
        <is>
          <t>sahannethumina2020@gmail.com</t>
        </is>
      </c>
      <c r="F87" s="110">
        <f>COUNTIF(G87:N87,"Y")</f>
        <v/>
      </c>
      <c r="G87" s="101" t="n"/>
      <c r="H87" s="101" t="n"/>
      <c r="I87" s="100" t="inlineStr">
        <is>
          <t>Y</t>
        </is>
      </c>
      <c r="J87" s="101" t="n"/>
      <c r="K87" s="101" t="n"/>
      <c r="L87" s="101" t="n"/>
      <c r="M87" s="111" t="inlineStr">
        <is>
          <t>Y</t>
        </is>
      </c>
    </row>
    <row r="88" ht="22.5" customHeight="1" s="108">
      <c r="A88" s="103" t="inlineStr">
        <is>
          <t>Ashan Induranga</t>
        </is>
      </c>
      <c r="B88" s="97" t="inlineStr">
        <is>
          <t>200405812728</t>
        </is>
      </c>
      <c r="C88" s="97" t="inlineStr">
        <is>
          <t>102543892</t>
        </is>
      </c>
      <c r="D88" s="97" t="inlineStr">
        <is>
          <t>0771950818</t>
        </is>
      </c>
      <c r="E88" s="98" t="inlineStr">
        <is>
          <t>ashanvfx@gmail.com</t>
        </is>
      </c>
      <c r="F88" s="110">
        <f>COUNTIF(G88:N88,"Y")</f>
        <v/>
      </c>
      <c r="G88" s="101" t="n"/>
      <c r="H88" s="101" t="n"/>
      <c r="I88" s="100" t="inlineStr">
        <is>
          <t>Y</t>
        </is>
      </c>
      <c r="J88" s="101" t="n"/>
      <c r="K88" s="101" t="n"/>
      <c r="L88" s="100" t="inlineStr">
        <is>
          <t>Y</t>
        </is>
      </c>
    </row>
    <row r="89" ht="22.5" customHeight="1" s="108">
      <c r="A89" s="103" t="inlineStr">
        <is>
          <t>Nethaka Siriwardena</t>
        </is>
      </c>
      <c r="B89" s="97" t="inlineStr">
        <is>
          <t>200332400312</t>
        </is>
      </c>
      <c r="C89" s="97" t="inlineStr">
        <is>
          <t>101573952</t>
        </is>
      </c>
      <c r="D89" s="97" t="inlineStr">
        <is>
          <t>0777567090</t>
        </is>
      </c>
      <c r="E89" s="98" t="inlineStr">
        <is>
          <t>nethakasiriwardena@gmail.com</t>
        </is>
      </c>
      <c r="F89" s="110">
        <f>COUNTIF(G89:N89,"Y")</f>
        <v/>
      </c>
      <c r="G89" s="101" t="n"/>
      <c r="H89" s="101" t="n"/>
      <c r="I89" s="100" t="inlineStr">
        <is>
          <t>Y</t>
        </is>
      </c>
      <c r="J89" s="101" t="n"/>
      <c r="K89" s="101" t="n"/>
      <c r="L89" s="100" t="inlineStr">
        <is>
          <t>Y</t>
        </is>
      </c>
      <c r="M89" s="111" t="inlineStr">
        <is>
          <t>Y</t>
        </is>
      </c>
    </row>
    <row r="90" hidden="1" ht="22.5" customHeight="1" s="108">
      <c r="A90" s="103" t="inlineStr">
        <is>
          <t>Laksri Senura</t>
        </is>
      </c>
      <c r="B90" s="97" t="inlineStr">
        <is>
          <t>200515501368</t>
        </is>
      </c>
      <c r="C90" s="97" t="inlineStr">
        <is>
          <t>102543830</t>
        </is>
      </c>
      <c r="D90" s="97" t="inlineStr">
        <is>
          <t>0770157283</t>
        </is>
      </c>
      <c r="E90" s="98" t="inlineStr">
        <is>
          <t>laksrisenura@gmail.com</t>
        </is>
      </c>
      <c r="F90" s="110">
        <f>COUNTIF(G90:N90,"Y")</f>
        <v/>
      </c>
      <c r="G90" s="101" t="n"/>
      <c r="H90" s="101" t="n"/>
      <c r="I90" s="100" t="inlineStr">
        <is>
          <t>Y</t>
        </is>
      </c>
      <c r="J90" s="100" t="inlineStr">
        <is>
          <t>Y</t>
        </is>
      </c>
      <c r="K90" s="101" t="n"/>
      <c r="L90" s="101" t="n"/>
    </row>
    <row r="91" hidden="1" ht="22.5" customHeight="1" s="108">
      <c r="A91" s="103" t="inlineStr">
        <is>
          <t>Tinuli Perera</t>
        </is>
      </c>
      <c r="B91" s="97" t="inlineStr">
        <is>
          <t>200582001451</t>
        </is>
      </c>
      <c r="C91" s="97" t="n"/>
      <c r="D91" s="97" t="inlineStr">
        <is>
          <t>0779886722</t>
        </is>
      </c>
      <c r="E91" s="98" t="inlineStr">
        <is>
          <t>pereratinuli2005@gmail.com</t>
        </is>
      </c>
      <c r="F91" s="110">
        <f>COUNTIF(G91:N91,"Y")</f>
        <v/>
      </c>
      <c r="G91" s="101" t="n"/>
      <c r="H91" s="101" t="n"/>
      <c r="I91" s="100" t="inlineStr">
        <is>
          <t>Y</t>
        </is>
      </c>
      <c r="J91" s="101" t="n"/>
      <c r="K91" s="101" t="n"/>
      <c r="L91" s="101" t="n"/>
    </row>
    <row r="92" hidden="1" ht="22.5" customHeight="1" s="108">
      <c r="A92" s="103" t="inlineStr">
        <is>
          <t>Thisasni Iddamalgoda</t>
        </is>
      </c>
      <c r="B92" s="97" t="inlineStr">
        <is>
          <t>200573400300</t>
        </is>
      </c>
      <c r="C92" s="97" t="n"/>
      <c r="D92" s="97" t="inlineStr">
        <is>
          <t>0702479016</t>
        </is>
      </c>
      <c r="E92" s="98" t="inlineStr">
        <is>
          <t>tdiddamalgoda@gmail.com</t>
        </is>
      </c>
      <c r="F92" s="110">
        <f>COUNTIF(G92:N92,"Y")</f>
        <v/>
      </c>
      <c r="G92" s="101" t="n"/>
      <c r="H92" s="101" t="n"/>
      <c r="I92" s="100" t="inlineStr">
        <is>
          <t>Y</t>
        </is>
      </c>
      <c r="J92" s="101" t="n"/>
      <c r="K92" s="101" t="n"/>
      <c r="L92" s="101" t="n"/>
    </row>
    <row r="93" hidden="1" ht="22.5" customHeight="1" s="108">
      <c r="A93" s="103" t="inlineStr">
        <is>
          <t>Malmi Gunathilaka</t>
        </is>
      </c>
      <c r="B93" s="97" t="inlineStr">
        <is>
          <t>200573302820</t>
        </is>
      </c>
      <c r="C93" s="97" t="inlineStr">
        <is>
          <t>102645054</t>
        </is>
      </c>
      <c r="D93" s="97" t="inlineStr">
        <is>
          <t>0719026847</t>
        </is>
      </c>
      <c r="E93" s="98" t="inlineStr">
        <is>
          <t>en25300046@my.sliit.lk</t>
        </is>
      </c>
      <c r="F93" s="110">
        <f>COUNTIF(G93:N93,"Y")</f>
        <v/>
      </c>
      <c r="G93" s="101" t="n"/>
      <c r="H93" s="101" t="n"/>
      <c r="I93" s="100" t="inlineStr">
        <is>
          <t>Y</t>
        </is>
      </c>
      <c r="J93" s="101" t="n"/>
      <c r="K93" s="101" t="n"/>
      <c r="L93" s="101" t="n"/>
      <c r="M93" s="111" t="inlineStr">
        <is>
          <t>Y</t>
        </is>
      </c>
    </row>
    <row r="94" hidden="1" ht="22.5" customHeight="1" s="108">
      <c r="A94" s="103" t="inlineStr">
        <is>
          <t>Arosha Malith</t>
        </is>
      </c>
      <c r="B94" s="97" t="inlineStr">
        <is>
          <t>200403711255</t>
        </is>
      </c>
      <c r="C94" s="97" t="n"/>
      <c r="D94" s="97" t="inlineStr">
        <is>
          <t>0712674547</t>
        </is>
      </c>
      <c r="E94" s="98" t="inlineStr">
        <is>
          <t>en25300385@my.sliit.lk</t>
        </is>
      </c>
      <c r="F94" s="110">
        <f>COUNTIF(G94:N94,"Y")</f>
        <v/>
      </c>
      <c r="G94" s="101" t="n"/>
      <c r="H94" s="101" t="n"/>
      <c r="I94" s="100" t="inlineStr">
        <is>
          <t>Y</t>
        </is>
      </c>
      <c r="J94" s="101" t="n"/>
      <c r="K94" s="101" t="n"/>
      <c r="L94" s="101" t="n"/>
    </row>
    <row r="95" hidden="1" ht="22.5" customHeight="1" s="108">
      <c r="A95" s="103" t="inlineStr">
        <is>
          <t>Nethma Pahasarani</t>
        </is>
      </c>
      <c r="B95" s="97" t="inlineStr">
        <is>
          <t>200581601727</t>
        </is>
      </c>
      <c r="C95" s="97" t="n"/>
      <c r="D95" s="97" t="inlineStr">
        <is>
          <t>0774621600</t>
        </is>
      </c>
      <c r="E95" s="98" t="inlineStr">
        <is>
          <t>en25300312@my.sliit.lk</t>
        </is>
      </c>
      <c r="F95" s="110">
        <f>COUNTIF(G95:N95,"Y")</f>
        <v/>
      </c>
      <c r="G95" s="101" t="n"/>
      <c r="H95" s="101" t="n"/>
      <c r="I95" s="100" t="inlineStr">
        <is>
          <t>Y</t>
        </is>
      </c>
      <c r="J95" s="101" t="n"/>
      <c r="K95" s="101" t="n"/>
      <c r="L95" s="101" t="n"/>
    </row>
    <row r="96" hidden="1" ht="22.5" customHeight="1" s="108">
      <c r="A96" s="103" t="inlineStr">
        <is>
          <t>Thamindu Adhikari</t>
        </is>
      </c>
      <c r="B96" s="97" t="inlineStr">
        <is>
          <t>200201101220</t>
        </is>
      </c>
      <c r="C96" s="97" t="n"/>
      <c r="D96" s="97" t="inlineStr">
        <is>
          <t>0740775472</t>
        </is>
      </c>
      <c r="E96" s="98" t="inlineStr">
        <is>
          <t>thamindu7777adhikari@gmail.com</t>
        </is>
      </c>
      <c r="F96" s="110">
        <f>COUNTIF(G96:N96,"Y")</f>
        <v/>
      </c>
      <c r="G96" s="101" t="n"/>
      <c r="H96" s="101" t="n"/>
      <c r="I96" s="100" t="inlineStr">
        <is>
          <t>Y</t>
        </is>
      </c>
      <c r="J96" s="101" t="n"/>
      <c r="K96" s="101" t="n"/>
      <c r="L96" s="101" t="n"/>
    </row>
    <row r="97" hidden="1" ht="22.5" customHeight="1" s="108">
      <c r="A97" s="103" t="inlineStr">
        <is>
          <t>Gimindu Niwandana</t>
        </is>
      </c>
      <c r="B97" s="97" t="inlineStr">
        <is>
          <t>200417503280</t>
        </is>
      </c>
      <c r="C97" s="97" t="n"/>
      <c r="D97" s="97" t="inlineStr">
        <is>
          <t>0772018119</t>
        </is>
      </c>
      <c r="E97" s="98" t="inlineStr">
        <is>
          <t>en25510025@my.sliit.lk</t>
        </is>
      </c>
      <c r="F97" s="110">
        <f>COUNTIF(G97:N97,"Y")</f>
        <v/>
      </c>
      <c r="G97" s="101" t="n"/>
      <c r="H97" s="101" t="n"/>
      <c r="I97" s="100" t="inlineStr">
        <is>
          <t>Y</t>
        </is>
      </c>
      <c r="J97" s="101" t="n"/>
      <c r="K97" s="101" t="n"/>
      <c r="L97" s="101" t="n"/>
    </row>
    <row r="98" hidden="1" ht="22.5" customHeight="1" s="108">
      <c r="A98" s="103" t="inlineStr">
        <is>
          <t>Thevin Bandara</t>
        </is>
      </c>
      <c r="B98" s="97" t="inlineStr">
        <is>
          <t>200524601982</t>
        </is>
      </c>
      <c r="C98" s="97" t="inlineStr">
        <is>
          <t>102226575</t>
        </is>
      </c>
      <c r="D98" s="97" t="inlineStr">
        <is>
          <t>0702382181</t>
        </is>
      </c>
      <c r="E98" s="98" t="inlineStr">
        <is>
          <t>bandarakkgti@gmail.com</t>
        </is>
      </c>
      <c r="F98" s="110">
        <f>COUNTIF(G98:N98,"Y")</f>
        <v/>
      </c>
      <c r="G98" s="101" t="n"/>
      <c r="H98" s="101" t="n"/>
      <c r="I98" s="100" t="inlineStr">
        <is>
          <t>Y</t>
        </is>
      </c>
      <c r="J98" s="101" t="n"/>
      <c r="K98" s="101" t="n"/>
      <c r="L98" s="101" t="n"/>
    </row>
    <row r="99" hidden="1" ht="22.5" customHeight="1" s="108">
      <c r="A99" s="103" t="inlineStr">
        <is>
          <t>Pamanda Ashini</t>
        </is>
      </c>
      <c r="B99" s="97" t="inlineStr">
        <is>
          <t>200483903948</t>
        </is>
      </c>
      <c r="C99" s="97" t="n"/>
      <c r="D99" s="97" t="inlineStr">
        <is>
          <t>0787585060</t>
        </is>
      </c>
      <c r="E99" s="98" t="inlineStr">
        <is>
          <t>en25300364@my.sliit.lk</t>
        </is>
      </c>
      <c r="F99" s="110">
        <f>COUNTIF(G99:N99,"Y")</f>
        <v/>
      </c>
      <c r="G99" s="101" t="n"/>
      <c r="H99" s="101" t="n"/>
      <c r="I99" s="100" t="inlineStr">
        <is>
          <t>Y</t>
        </is>
      </c>
      <c r="J99" s="101" t="n"/>
      <c r="K99" s="101" t="n"/>
      <c r="L99" s="101" t="n"/>
    </row>
    <row r="100" hidden="1" ht="22.5" customHeight="1" s="108">
      <c r="A100" s="103" t="inlineStr">
        <is>
          <t>Dinuka Cooray</t>
        </is>
      </c>
      <c r="B100" s="97" t="inlineStr">
        <is>
          <t>200325500253</t>
        </is>
      </c>
      <c r="C100" s="97" t="n"/>
      <c r="D100" s="97" t="inlineStr">
        <is>
          <t>0786821618</t>
        </is>
      </c>
      <c r="E100" s="98" t="inlineStr">
        <is>
          <t>it25100414@gmail.com</t>
        </is>
      </c>
      <c r="F100" s="110">
        <f>COUNTIF(G100:N100,"Y")</f>
        <v/>
      </c>
      <c r="G100" s="101" t="n"/>
      <c r="H100" s="101" t="n"/>
      <c r="I100" s="100" t="inlineStr">
        <is>
          <t>Y</t>
        </is>
      </c>
      <c r="J100" s="101" t="n"/>
      <c r="K100" s="101" t="n"/>
      <c r="L100" s="101" t="n"/>
    </row>
    <row r="101" hidden="1" ht="22.5" customHeight="1" s="108">
      <c r="A101" s="103" t="inlineStr">
        <is>
          <t>Naduni Fernando</t>
        </is>
      </c>
      <c r="B101" s="97" t="inlineStr">
        <is>
          <t>200557901851</t>
        </is>
      </c>
      <c r="C101" s="97" t="inlineStr">
        <is>
          <t>102606871</t>
        </is>
      </c>
      <c r="D101" s="97" t="inlineStr">
        <is>
          <t>0763951401</t>
        </is>
      </c>
      <c r="E101" s="98" t="inlineStr">
        <is>
          <t>en25300067@my.sliit.lk</t>
        </is>
      </c>
      <c r="F101" s="110">
        <f>COUNTIF(G101:N101,"Y")</f>
        <v/>
      </c>
      <c r="G101" s="101" t="n"/>
      <c r="H101" s="101" t="n"/>
      <c r="I101" s="100" t="inlineStr">
        <is>
          <t>Y</t>
        </is>
      </c>
      <c r="J101" s="101" t="n"/>
      <c r="K101" s="101" t="n"/>
      <c r="L101" s="101" t="n"/>
    </row>
    <row r="102" hidden="1" ht="22.5" customHeight="1" s="108">
      <c r="A102" s="103" t="inlineStr">
        <is>
          <t>D.G.K Sansala</t>
        </is>
      </c>
      <c r="B102" s="97" t="inlineStr">
        <is>
          <t>200428102329</t>
        </is>
      </c>
      <c r="C102" s="97" t="n"/>
      <c r="D102" s="97" t="inlineStr">
        <is>
          <t>0703980535</t>
        </is>
      </c>
      <c r="E102" s="98" t="inlineStr">
        <is>
          <t>dgkaveeshasansala@gmail.com</t>
        </is>
      </c>
      <c r="F102" s="110">
        <f>COUNTIF(G102:N102,"Y")</f>
        <v/>
      </c>
      <c r="G102" s="101" t="n"/>
      <c r="H102" s="101" t="n"/>
      <c r="I102" s="100" t="inlineStr">
        <is>
          <t>Y</t>
        </is>
      </c>
      <c r="J102" s="101" t="n"/>
      <c r="K102" s="101" t="n"/>
      <c r="L102" s="101" t="n"/>
      <c r="M102" s="111" t="inlineStr">
        <is>
          <t>Y</t>
        </is>
      </c>
    </row>
    <row r="103" hidden="1" ht="22.5" customHeight="1" s="108">
      <c r="A103" s="103" t="inlineStr">
        <is>
          <t>Senithu Livisara</t>
        </is>
      </c>
      <c r="B103" s="97" t="inlineStr">
        <is>
          <t>200501000443</t>
        </is>
      </c>
      <c r="C103" s="97" t="inlineStr">
        <is>
          <t>102570873</t>
        </is>
      </c>
      <c r="D103" s="97" t="inlineStr">
        <is>
          <t>0721556684</t>
        </is>
      </c>
      <c r="E103" s="98" t="inlineStr">
        <is>
          <t>livisarasenithu902@gmail.com</t>
        </is>
      </c>
      <c r="F103" s="110">
        <f>COUNTIF(G103:N103,"Y")</f>
        <v/>
      </c>
      <c r="G103" s="101" t="n"/>
      <c r="H103" s="101" t="n"/>
      <c r="I103" s="100" t="inlineStr">
        <is>
          <t>Y</t>
        </is>
      </c>
      <c r="J103" s="101" t="n"/>
      <c r="K103" s="101" t="n"/>
      <c r="L103" s="101" t="n"/>
    </row>
    <row r="104" hidden="1" ht="22.5" customHeight="1" s="108">
      <c r="A104" s="103" t="inlineStr">
        <is>
          <t>Chathura Sandaruwan</t>
        </is>
      </c>
      <c r="B104" s="97" t="inlineStr">
        <is>
          <t>200205102410</t>
        </is>
      </c>
      <c r="C104" s="97" t="inlineStr">
        <is>
          <t>102544106</t>
        </is>
      </c>
      <c r="D104" s="97" t="inlineStr">
        <is>
          <t>0710720439</t>
        </is>
      </c>
      <c r="E104" s="98" t="inlineStr">
        <is>
          <t>en25300140@my.sliit.lk</t>
        </is>
      </c>
      <c r="F104" s="110">
        <f>COUNTIF(G104:N104,"Y")</f>
        <v/>
      </c>
      <c r="G104" s="101" t="n"/>
      <c r="H104" s="101" t="n"/>
      <c r="I104" s="100" t="inlineStr">
        <is>
          <t>Y</t>
        </is>
      </c>
      <c r="J104" s="101" t="n"/>
      <c r="K104" s="101" t="n"/>
      <c r="L104" s="101" t="n"/>
    </row>
    <row r="105" hidden="1" ht="22.5" customHeight="1" s="108">
      <c r="A105" s="103" t="inlineStr">
        <is>
          <t>Anaaya Ashik</t>
        </is>
      </c>
      <c r="B105" s="97" t="inlineStr">
        <is>
          <t>200782805104</t>
        </is>
      </c>
      <c r="C105" s="97" t="inlineStr">
        <is>
          <t>102621421</t>
        </is>
      </c>
      <c r="D105" s="97" t="inlineStr">
        <is>
          <t>0768584459</t>
        </is>
      </c>
      <c r="E105" s="98" t="inlineStr">
        <is>
          <t>ashik007mmm@gmail.com</t>
        </is>
      </c>
      <c r="F105" s="110">
        <f>COUNTIF(G105:N105,"Y")</f>
        <v/>
      </c>
      <c r="G105" s="101" t="n"/>
      <c r="H105" s="101" t="n"/>
      <c r="I105" s="100" t="inlineStr">
        <is>
          <t>Y</t>
        </is>
      </c>
      <c r="J105" s="101" t="n"/>
      <c r="K105" s="101" t="n"/>
      <c r="L105" s="101" t="n"/>
    </row>
    <row r="106" ht="22.5" customHeight="1" s="108">
      <c r="A106" s="103" t="inlineStr">
        <is>
          <t>Themini Obeysekara</t>
        </is>
      </c>
      <c r="B106" s="97" t="inlineStr">
        <is>
          <t>200373900408</t>
        </is>
      </c>
      <c r="C106" s="97" t="inlineStr">
        <is>
          <t>102417614</t>
        </is>
      </c>
      <c r="D106" s="97" t="inlineStr">
        <is>
          <t>0702677320</t>
        </is>
      </c>
      <c r="E106" s="98" t="inlineStr">
        <is>
          <t>theminipiyanma@gmail.com</t>
        </is>
      </c>
      <c r="F106" s="110">
        <f>COUNTIF(G106:N106,"Y")</f>
        <v/>
      </c>
      <c r="G106" s="101" t="n"/>
      <c r="H106" s="101" t="n"/>
      <c r="I106" s="100" t="inlineStr">
        <is>
          <t>Y</t>
        </is>
      </c>
      <c r="J106" s="101" t="n"/>
      <c r="K106" s="101" t="n"/>
      <c r="L106" s="100" t="inlineStr">
        <is>
          <t>Y</t>
        </is>
      </c>
    </row>
    <row r="107" hidden="1" ht="22.5" customHeight="1" s="108">
      <c r="A107" s="103" t="inlineStr">
        <is>
          <t>Neluki Balasooriya</t>
        </is>
      </c>
      <c r="B107" s="97" t="inlineStr">
        <is>
          <t>200575802192</t>
        </is>
      </c>
      <c r="C107" s="97" t="inlineStr">
        <is>
          <t>102203470</t>
        </is>
      </c>
      <c r="D107" s="97" t="inlineStr">
        <is>
          <t>0755440008</t>
        </is>
      </c>
      <c r="E107" s="98" t="inlineStr">
        <is>
          <t>nelukibalasooriya@gmail.com</t>
        </is>
      </c>
      <c r="F107" s="110">
        <f>COUNTIF(G107:N107,"Y")</f>
        <v/>
      </c>
      <c r="G107" s="101" t="n"/>
      <c r="H107" s="101" t="n"/>
      <c r="I107" s="100" t="inlineStr">
        <is>
          <t>Y</t>
        </is>
      </c>
      <c r="J107" s="100" t="inlineStr">
        <is>
          <t>Y</t>
        </is>
      </c>
      <c r="K107" s="101" t="n"/>
      <c r="L107" s="101" t="n"/>
      <c r="M107" s="111" t="inlineStr">
        <is>
          <t>Y</t>
        </is>
      </c>
    </row>
    <row r="108" hidden="1" ht="22.5" customHeight="1" s="108">
      <c r="A108" s="103" t="inlineStr">
        <is>
          <t>Thisum Wellahewage</t>
        </is>
      </c>
      <c r="B108" s="97" t="inlineStr">
        <is>
          <t>200524601435</t>
        </is>
      </c>
      <c r="C108" s="97" t="n"/>
      <c r="D108" s="97" t="inlineStr">
        <is>
          <t>0786749160</t>
        </is>
      </c>
      <c r="E108" s="98" t="inlineStr">
        <is>
          <t>thisumwellahewage@gmail.com</t>
        </is>
      </c>
      <c r="F108" s="110">
        <f>COUNTIF(G108:N108,"Y")</f>
        <v/>
      </c>
      <c r="G108" s="101" t="n"/>
      <c r="H108" s="101" t="n"/>
      <c r="I108" s="100" t="inlineStr">
        <is>
          <t>Y</t>
        </is>
      </c>
      <c r="J108" s="101" t="n"/>
      <c r="K108" s="101" t="n"/>
      <c r="L108" s="101" t="n"/>
    </row>
    <row r="109" hidden="1" ht="22.5" customHeight="1" s="108">
      <c r="A109" s="103" t="inlineStr">
        <is>
          <t>Thisara Ediriweera</t>
        </is>
      </c>
      <c r="B109" s="97" t="inlineStr">
        <is>
          <t>200458112918</t>
        </is>
      </c>
      <c r="C109" s="97" t="inlineStr">
        <is>
          <t>102621893</t>
        </is>
      </c>
      <c r="D109" s="97" t="inlineStr">
        <is>
          <t>0701203201</t>
        </is>
      </c>
      <c r="E109" s="98" t="inlineStr">
        <is>
          <t>en25300242@my.sliit.lk</t>
        </is>
      </c>
      <c r="F109" s="110">
        <f>COUNTIF(G109:N109,"Y")</f>
        <v/>
      </c>
      <c r="G109" s="101" t="n"/>
      <c r="H109" s="101" t="n"/>
      <c r="I109" s="100" t="inlineStr">
        <is>
          <t>Y</t>
        </is>
      </c>
      <c r="J109" s="100" t="inlineStr">
        <is>
          <t>Y</t>
        </is>
      </c>
      <c r="K109" s="101" t="n"/>
      <c r="L109" s="101" t="n"/>
    </row>
    <row r="110" hidden="1" ht="22.5" customHeight="1" s="108">
      <c r="A110" s="103" t="inlineStr">
        <is>
          <t>Dumindu Kariyawasam</t>
        </is>
      </c>
      <c r="B110" s="97" t="inlineStr">
        <is>
          <t>200507004217</t>
        </is>
      </c>
      <c r="C110" s="97" t="inlineStr">
        <is>
          <t>102573890</t>
        </is>
      </c>
      <c r="D110" s="97" t="inlineStr">
        <is>
          <t>0701566247</t>
        </is>
      </c>
      <c r="E110" s="98" t="inlineStr">
        <is>
          <t>dumindukkdl0310@gmail.com</t>
        </is>
      </c>
      <c r="F110" s="110">
        <f>COUNTIF(G110:N110,"Y")</f>
        <v/>
      </c>
      <c r="G110" s="101" t="n"/>
      <c r="H110" s="101" t="n"/>
      <c r="I110" s="100" t="inlineStr">
        <is>
          <t>Y</t>
        </is>
      </c>
      <c r="J110" s="101" t="n"/>
      <c r="K110" s="101" t="n"/>
      <c r="L110" s="101" t="n"/>
    </row>
    <row r="111" hidden="1" ht="22.5" customHeight="1" s="108">
      <c r="A111" s="103" t="inlineStr">
        <is>
          <t>Savidu Sithum</t>
        </is>
      </c>
      <c r="B111" s="97" t="inlineStr">
        <is>
          <t>200203200899</t>
        </is>
      </c>
      <c r="C111" s="97" t="n"/>
      <c r="D111" s="97" t="inlineStr">
        <is>
          <t>0760580735</t>
        </is>
      </c>
      <c r="E111" s="98" t="inlineStr">
        <is>
          <t>savidusithum899@gmail.com</t>
        </is>
      </c>
      <c r="F111" s="110">
        <f>COUNTIF(G111:N111,"Y")</f>
        <v/>
      </c>
      <c r="G111" s="101" t="n"/>
      <c r="H111" s="101" t="n"/>
      <c r="I111" s="100" t="inlineStr">
        <is>
          <t>Y</t>
        </is>
      </c>
      <c r="J111" s="101" t="n"/>
      <c r="K111" s="101" t="n"/>
      <c r="L111" s="101" t="n"/>
    </row>
    <row r="112" hidden="1" ht="22.5" customHeight="1" s="108">
      <c r="A112" s="103" t="inlineStr">
        <is>
          <t>Nayani Vithana</t>
        </is>
      </c>
      <c r="B112" s="97" t="inlineStr">
        <is>
          <t>200475904052</t>
        </is>
      </c>
      <c r="C112" s="97" t="inlineStr">
        <is>
          <t>102621441</t>
        </is>
      </c>
      <c r="D112" s="97" t="inlineStr">
        <is>
          <t>0712771105</t>
        </is>
      </c>
      <c r="E112" s="98" t="inlineStr">
        <is>
          <t>nkwithana@gmail.com</t>
        </is>
      </c>
      <c r="F112" s="110">
        <f>COUNTIF(G112:N112,"Y")</f>
        <v/>
      </c>
      <c r="G112" s="101" t="n"/>
      <c r="H112" s="101" t="n"/>
      <c r="I112" s="100" t="inlineStr">
        <is>
          <t>Y</t>
        </is>
      </c>
      <c r="J112" s="101" t="n"/>
      <c r="K112" s="101" t="n"/>
      <c r="L112" s="101" t="n"/>
    </row>
    <row r="113" hidden="1" ht="22.5" customHeight="1" s="108">
      <c r="A113" s="103" t="inlineStr">
        <is>
          <t>pamudu karunarathna</t>
        </is>
      </c>
      <c r="B113" s="97" t="inlineStr">
        <is>
          <t>200415100671</t>
        </is>
      </c>
      <c r="C113" s="97" t="inlineStr">
        <is>
          <t>102620880</t>
        </is>
      </c>
      <c r="D113" s="97" t="inlineStr">
        <is>
          <t>0778231138</t>
        </is>
      </c>
      <c r="E113" s="98" t="inlineStr">
        <is>
          <t>en25300317@my.sliit.lk</t>
        </is>
      </c>
      <c r="F113" s="110">
        <f>COUNTIF(G113:N113,"Y")</f>
        <v/>
      </c>
      <c r="G113" s="101" t="n"/>
      <c r="H113" s="101" t="n"/>
      <c r="I113" s="100" t="inlineStr">
        <is>
          <t>Y</t>
        </is>
      </c>
      <c r="J113" s="100" t="inlineStr">
        <is>
          <t>Y</t>
        </is>
      </c>
      <c r="K113" s="101" t="n"/>
      <c r="L113" s="101" t="n"/>
    </row>
    <row r="114" hidden="1" ht="22.5" customHeight="1" s="108">
      <c r="A114" s="103" t="inlineStr">
        <is>
          <t>Warshana weerasooriya</t>
        </is>
      </c>
      <c r="B114" s="97" t="inlineStr">
        <is>
          <t>200614300410</t>
        </is>
      </c>
      <c r="C114" s="97" t="n"/>
      <c r="D114" s="97" t="inlineStr">
        <is>
          <t>0740484611</t>
        </is>
      </c>
      <c r="E114" s="98" t="inlineStr">
        <is>
          <t>warshanaweerasooriya440@gmail.com</t>
        </is>
      </c>
      <c r="F114" s="110">
        <f>COUNTIF(G114:N114,"Y")</f>
        <v/>
      </c>
      <c r="G114" s="101" t="n"/>
      <c r="H114" s="101" t="n"/>
      <c r="I114" s="100" t="inlineStr">
        <is>
          <t>Y</t>
        </is>
      </c>
      <c r="J114" s="101" t="n"/>
      <c r="K114" s="101" t="n"/>
      <c r="L114" s="101" t="n"/>
    </row>
    <row r="115" hidden="1" ht="22.5" customHeight="1" s="108">
      <c r="A115" s="103" t="inlineStr">
        <is>
          <t>charuni thushara</t>
        </is>
      </c>
      <c r="B115" s="97" t="inlineStr">
        <is>
          <t>200268701323</t>
        </is>
      </c>
      <c r="C115" s="97" t="inlineStr">
        <is>
          <t>102606863</t>
        </is>
      </c>
      <c r="D115" s="97" t="inlineStr">
        <is>
          <t>0767431012</t>
        </is>
      </c>
      <c r="E115" s="98" t="inlineStr">
        <is>
          <t>en25100345@my.sliit.lk</t>
        </is>
      </c>
      <c r="F115" s="110">
        <f>COUNTIF(G115:N115,"Y")</f>
        <v/>
      </c>
      <c r="G115" s="101" t="n"/>
      <c r="H115" s="101" t="n"/>
      <c r="I115" s="100" t="inlineStr">
        <is>
          <t>Y</t>
        </is>
      </c>
      <c r="J115" s="101" t="n"/>
      <c r="K115" s="101" t="n"/>
      <c r="L115" s="101" t="n"/>
    </row>
    <row r="116" hidden="1" ht="22.5" customHeight="1" s="108">
      <c r="A116" s="103" t="inlineStr">
        <is>
          <t>Nevishka Jayasinghe</t>
        </is>
      </c>
      <c r="B116" s="97" t="inlineStr">
        <is>
          <t>200503500679</t>
        </is>
      </c>
      <c r="C116" s="97" t="inlineStr">
        <is>
          <t>102545514</t>
        </is>
      </c>
      <c r="D116" s="97" t="inlineStr">
        <is>
          <t>0707430124</t>
        </is>
      </c>
      <c r="E116" s="98" t="inlineStr">
        <is>
          <t>en25300189@my.sliit.lk</t>
        </is>
      </c>
      <c r="F116" s="110">
        <f>COUNTIF(G116:N116,"Y")</f>
        <v/>
      </c>
      <c r="G116" s="101" t="n"/>
      <c r="H116" s="101" t="n"/>
      <c r="I116" s="100" t="inlineStr">
        <is>
          <t>Y</t>
        </is>
      </c>
      <c r="J116" s="100" t="inlineStr">
        <is>
          <t>Y</t>
        </is>
      </c>
      <c r="K116" s="100" t="inlineStr">
        <is>
          <t>Y</t>
        </is>
      </c>
      <c r="L116" s="101" t="n"/>
      <c r="M116" s="111" t="inlineStr">
        <is>
          <t>Y</t>
        </is>
      </c>
    </row>
    <row r="117" hidden="1" ht="22.5" customHeight="1" s="108">
      <c r="A117" s="103" t="inlineStr">
        <is>
          <t>Achira Karunarathne</t>
        </is>
      </c>
      <c r="B117" s="97" t="inlineStr">
        <is>
          <t>200227003094</t>
        </is>
      </c>
      <c r="C117" s="97" t="inlineStr">
        <is>
          <t>102024736</t>
        </is>
      </c>
      <c r="D117" s="97" t="inlineStr">
        <is>
          <t>0766409852</t>
        </is>
      </c>
      <c r="E117" s="98" t="inlineStr">
        <is>
          <t>achirakaru2002@gmail.com</t>
        </is>
      </c>
      <c r="F117" s="110">
        <f>COUNTIF(G117:N117,"Y")</f>
        <v/>
      </c>
      <c r="G117" s="101" t="n"/>
      <c r="H117" s="101" t="n"/>
      <c r="I117" s="100" t="inlineStr">
        <is>
          <t>Y</t>
        </is>
      </c>
      <c r="J117" s="101" t="n"/>
      <c r="K117" s="101" t="n"/>
      <c r="L117" s="101" t="n"/>
      <c r="M117" s="111" t="inlineStr">
        <is>
          <t>Y</t>
        </is>
      </c>
    </row>
    <row r="118" hidden="1" ht="22.5" customHeight="1" s="108">
      <c r="A118" s="103" t="inlineStr">
        <is>
          <t>Chamudi Welikanna</t>
        </is>
      </c>
      <c r="B118" s="97" t="inlineStr">
        <is>
          <t>200367600589</t>
        </is>
      </c>
      <c r="C118" s="97" t="inlineStr">
        <is>
          <t>102017314</t>
        </is>
      </c>
      <c r="D118" s="97" t="inlineStr">
        <is>
          <t>0705334261</t>
        </is>
      </c>
      <c r="E118" s="98" t="inlineStr">
        <is>
          <t>chamudirashmikawelikanna@gmail.com</t>
        </is>
      </c>
      <c r="F118" s="110">
        <f>COUNTIF(G118:N118,"Y")</f>
        <v/>
      </c>
      <c r="G118" s="101" t="n"/>
      <c r="H118" s="101" t="n"/>
      <c r="I118" s="100" t="inlineStr">
        <is>
          <t>Y</t>
        </is>
      </c>
      <c r="J118" s="101" t="n"/>
      <c r="K118" s="101" t="n"/>
      <c r="L118" s="101" t="n"/>
    </row>
    <row r="119" hidden="1" ht="22.5" customHeight="1" s="108">
      <c r="A119" s="103" t="inlineStr">
        <is>
          <t>Sithum Sathsara</t>
        </is>
      </c>
      <c r="B119" s="97" t="inlineStr">
        <is>
          <t>2003148110564</t>
        </is>
      </c>
      <c r="C119" s="97" t="inlineStr">
        <is>
          <t>101099311</t>
        </is>
      </c>
      <c r="D119" s="97" t="inlineStr">
        <is>
          <t>0765774721</t>
        </is>
      </c>
      <c r="E119" s="98" t="inlineStr">
        <is>
          <t>sithumsathsara111@gmail.com</t>
        </is>
      </c>
      <c r="F119" s="110">
        <f>COUNTIF(G119:N119,"Y")</f>
        <v/>
      </c>
      <c r="G119" s="101" t="n"/>
      <c r="H119" s="101" t="n"/>
      <c r="I119" s="100" t="inlineStr">
        <is>
          <t>Y</t>
        </is>
      </c>
      <c r="J119" s="101" t="n"/>
      <c r="K119" s="101" t="n"/>
      <c r="L119" s="101" t="n"/>
    </row>
    <row r="120" hidden="1" ht="22.5" customHeight="1" s="108">
      <c r="A120" s="103" t="inlineStr">
        <is>
          <t>Gethma Chathmini</t>
        </is>
      </c>
      <c r="B120" s="97" t="inlineStr">
        <is>
          <t>200556801916</t>
        </is>
      </c>
      <c r="C120" s="97" t="inlineStr">
        <is>
          <t>102585493</t>
        </is>
      </c>
      <c r="D120" s="97" t="inlineStr">
        <is>
          <t>0788082082</t>
        </is>
      </c>
      <c r="E120" s="98" t="inlineStr">
        <is>
          <t>gethma2005@gmail.com</t>
        </is>
      </c>
      <c r="F120" s="110">
        <f>COUNTIF(G120:N120,"Y")</f>
        <v/>
      </c>
      <c r="G120" s="101" t="n"/>
      <c r="H120" s="101" t="n"/>
      <c r="I120" s="100" t="inlineStr">
        <is>
          <t>Y</t>
        </is>
      </c>
      <c r="J120" s="101" t="n"/>
      <c r="K120" s="101" t="n"/>
      <c r="L120" s="101" t="n"/>
    </row>
    <row r="121" hidden="1" ht="22.5" customHeight="1" s="108">
      <c r="A121" s="103" t="inlineStr">
        <is>
          <t>Nimasha Dharmadasa</t>
        </is>
      </c>
      <c r="B121" s="97" t="inlineStr">
        <is>
          <t>200485704063</t>
        </is>
      </c>
      <c r="C121" s="97" t="inlineStr">
        <is>
          <t>102615413</t>
        </is>
      </c>
      <c r="D121" s="97" t="inlineStr">
        <is>
          <t>0703344070</t>
        </is>
      </c>
      <c r="E121" s="98" t="inlineStr">
        <is>
          <t>nimashadharmadasa1222@gmail.com</t>
        </is>
      </c>
      <c r="F121" s="110">
        <f>COUNTIF(G121:N121,"Y")</f>
        <v/>
      </c>
      <c r="G121" s="101" t="n"/>
      <c r="H121" s="101" t="n"/>
      <c r="I121" s="100" t="inlineStr">
        <is>
          <t>Y</t>
        </is>
      </c>
      <c r="J121" s="101" t="n"/>
      <c r="K121" s="101" t="n"/>
      <c r="L121" s="101" t="n"/>
    </row>
    <row r="122" hidden="1" ht="22.5" customHeight="1" s="108">
      <c r="A122" s="103" t="inlineStr">
        <is>
          <t>Anjana Ayomal</t>
        </is>
      </c>
      <c r="B122" s="97" t="inlineStr">
        <is>
          <t>200331512769</t>
        </is>
      </c>
      <c r="C122" s="97" t="inlineStr">
        <is>
          <t>102610683</t>
        </is>
      </c>
      <c r="D122" s="97" t="inlineStr">
        <is>
          <t>0764360502</t>
        </is>
      </c>
      <c r="E122" s="98" t="inlineStr">
        <is>
          <t>anjanaayomal@gmail.com</t>
        </is>
      </c>
      <c r="F122" s="110">
        <f>COUNTIF(G122:N122,"Y")</f>
        <v/>
      </c>
      <c r="G122" s="101" t="n"/>
      <c r="H122" s="101" t="n"/>
      <c r="I122" s="100" t="inlineStr">
        <is>
          <t>Y</t>
        </is>
      </c>
      <c r="J122" s="100" t="inlineStr">
        <is>
          <t>Y</t>
        </is>
      </c>
      <c r="K122" s="101" t="n"/>
      <c r="L122" s="101" t="n"/>
    </row>
    <row r="123" hidden="1" ht="22.5" customHeight="1" s="108">
      <c r="A123" s="103" t="inlineStr">
        <is>
          <t>Nafees</t>
        </is>
      </c>
      <c r="B123" s="97" t="inlineStr">
        <is>
          <t>200319612178</t>
        </is>
      </c>
      <c r="C123" s="97" t="n"/>
      <c r="D123" s="97" t="inlineStr">
        <is>
          <t>0715768567</t>
        </is>
      </c>
      <c r="E123" s="98" t="inlineStr">
        <is>
          <t>en25300403@my.sliit.lk</t>
        </is>
      </c>
      <c r="F123" s="110">
        <f>COUNTIF(G123:N123,"Y")</f>
        <v/>
      </c>
      <c r="G123" s="101" t="n"/>
      <c r="H123" s="101" t="n"/>
      <c r="I123" s="100" t="inlineStr">
        <is>
          <t>Y</t>
        </is>
      </c>
      <c r="J123" s="101" t="n"/>
      <c r="K123" s="101" t="n"/>
      <c r="L123" s="101" t="n"/>
    </row>
    <row r="124" hidden="1" ht="22.5" customHeight="1" s="108">
      <c r="A124" s="103" t="inlineStr">
        <is>
          <t>Neihan Rodrigo</t>
        </is>
      </c>
      <c r="B124" s="97" t="inlineStr">
        <is>
          <t>200526601434</t>
        </is>
      </c>
      <c r="C124" s="97" t="n"/>
      <c r="D124" s="97" t="inlineStr">
        <is>
          <t>0763748008</t>
        </is>
      </c>
      <c r="E124" s="98" t="inlineStr">
        <is>
          <t>en25300227@my.sliit.lk</t>
        </is>
      </c>
      <c r="F124" s="110">
        <f>COUNTIF(G124:N124,"Y")</f>
        <v/>
      </c>
      <c r="G124" s="101" t="n"/>
      <c r="H124" s="101" t="n"/>
      <c r="I124" s="100" t="inlineStr">
        <is>
          <t>Y</t>
        </is>
      </c>
      <c r="J124" s="101" t="n"/>
      <c r="K124" s="101" t="n"/>
      <c r="L124" s="101" t="n"/>
    </row>
    <row r="125" hidden="1" ht="22.5" customHeight="1" s="108">
      <c r="A125" s="103" t="inlineStr">
        <is>
          <t>Nethmi Weerathunga</t>
        </is>
      </c>
      <c r="B125" s="97" t="inlineStr">
        <is>
          <t>200565001636</t>
        </is>
      </c>
      <c r="C125" s="97" t="inlineStr">
        <is>
          <t>102611923</t>
        </is>
      </c>
      <c r="D125" s="97" t="inlineStr">
        <is>
          <t>0717472983</t>
        </is>
      </c>
      <c r="E125" s="98" t="inlineStr">
        <is>
          <t>nethuweerathungaofficial2005@gmail.com</t>
        </is>
      </c>
      <c r="F125" s="110">
        <f>COUNTIF(G125:N125,"Y")</f>
        <v/>
      </c>
      <c r="G125" s="101" t="n"/>
      <c r="H125" s="101" t="n"/>
      <c r="I125" s="100" t="inlineStr">
        <is>
          <t>Y</t>
        </is>
      </c>
      <c r="J125" s="101" t="n"/>
      <c r="K125" s="101" t="n"/>
      <c r="L125" s="101" t="n"/>
    </row>
    <row r="126" hidden="1" ht="22.5" customHeight="1" s="108">
      <c r="A126" s="103" t="inlineStr">
        <is>
          <t>Lakvidu Rathnayake</t>
        </is>
      </c>
      <c r="B126" s="97" t="inlineStr">
        <is>
          <t>200112000000</t>
        </is>
      </c>
      <c r="C126" s="97" t="inlineStr">
        <is>
          <t>102622173</t>
        </is>
      </c>
      <c r="D126" s="97" t="inlineStr">
        <is>
          <t>0719277149</t>
        </is>
      </c>
      <c r="E126" s="98" t="inlineStr">
        <is>
          <t>lakviduuparasa@gmail.com</t>
        </is>
      </c>
      <c r="F126" s="110">
        <f>COUNTIF(G126:N126,"Y")</f>
        <v/>
      </c>
      <c r="G126" s="101" t="n"/>
      <c r="H126" s="101" t="n"/>
      <c r="I126" s="101" t="n"/>
      <c r="J126" s="100" t="inlineStr">
        <is>
          <t>Y</t>
        </is>
      </c>
      <c r="K126" s="100" t="inlineStr">
        <is>
          <t>Y</t>
        </is>
      </c>
      <c r="L126" s="101" t="n"/>
    </row>
    <row r="127" hidden="1" ht="22.5" customHeight="1" s="108">
      <c r="A127" s="103" t="inlineStr">
        <is>
          <t>Nadun Siriwardhana</t>
        </is>
      </c>
      <c r="B127" s="97" t="inlineStr">
        <is>
          <t>200319000000</t>
        </is>
      </c>
      <c r="C127" s="97" t="inlineStr">
        <is>
          <t>102602232</t>
        </is>
      </c>
      <c r="D127" s="97" t="inlineStr">
        <is>
          <t>0743753208</t>
        </is>
      </c>
      <c r="E127" s="98" t="inlineStr">
        <is>
          <t>en25300001@my.sliit.lk</t>
        </is>
      </c>
      <c r="F127" s="110">
        <f>COUNTIF(G127:N127,"Y")</f>
        <v/>
      </c>
      <c r="G127" s="101" t="n"/>
      <c r="H127" s="101" t="n"/>
      <c r="I127" s="101" t="n"/>
      <c r="J127" s="100" t="inlineStr">
        <is>
          <t>Y</t>
        </is>
      </c>
      <c r="K127" s="101" t="n"/>
      <c r="L127" s="101" t="n"/>
    </row>
    <row r="128" hidden="1" ht="22.5" customHeight="1" s="108">
      <c r="A128" s="103" t="inlineStr">
        <is>
          <t>Danwaththa D.L.D.N</t>
        </is>
      </c>
      <c r="B128" s="97" t="inlineStr">
        <is>
          <t>200501000000</t>
        </is>
      </c>
      <c r="C128" s="97" t="inlineStr">
        <is>
          <t>102621461</t>
        </is>
      </c>
      <c r="D128" s="97" t="inlineStr">
        <is>
          <t>0762769259</t>
        </is>
      </c>
      <c r="E128" s="98" t="inlineStr">
        <is>
          <t>thisfordhanuka2005@gmail.com</t>
        </is>
      </c>
      <c r="F128" s="110">
        <f>COUNTIF(G128:N128,"Y")</f>
        <v/>
      </c>
      <c r="G128" s="101" t="n"/>
      <c r="H128" s="101" t="n"/>
      <c r="I128" s="101" t="n"/>
      <c r="J128" s="100" t="inlineStr">
        <is>
          <t>Y</t>
        </is>
      </c>
      <c r="K128" s="101" t="n"/>
      <c r="L128" s="101" t="n"/>
    </row>
    <row r="129" hidden="1" ht="22.5" customHeight="1" s="108">
      <c r="A129" s="103" t="inlineStr">
        <is>
          <t>Randil Gunarathna</t>
        </is>
      </c>
      <c r="B129" s="97" t="inlineStr">
        <is>
          <t>200316000000</t>
        </is>
      </c>
      <c r="C129" s="97" t="inlineStr">
        <is>
          <t>102545641</t>
        </is>
      </c>
      <c r="D129" s="97" t="inlineStr">
        <is>
          <t>0704366238</t>
        </is>
      </c>
      <c r="E129" s="98" t="inlineStr">
        <is>
          <t>randilsanjana036@gmail.com</t>
        </is>
      </c>
      <c r="F129" s="110">
        <f>COUNTIF(G129:N129,"Y")</f>
        <v/>
      </c>
      <c r="G129" s="101" t="n"/>
      <c r="H129" s="101" t="n"/>
      <c r="I129" s="101" t="n"/>
      <c r="J129" s="100" t="inlineStr">
        <is>
          <t>Y</t>
        </is>
      </c>
      <c r="K129" s="101" t="n"/>
      <c r="L129" s="101" t="n"/>
    </row>
    <row r="130" hidden="1" ht="22.5" customHeight="1" s="108">
      <c r="A130" s="103" t="inlineStr">
        <is>
          <t>Sajanee Bandara</t>
        </is>
      </c>
      <c r="B130" s="97" t="inlineStr">
        <is>
          <t>200452000000</t>
        </is>
      </c>
      <c r="C130" s="97" t="inlineStr">
        <is>
          <t>102625813</t>
        </is>
      </c>
      <c r="D130" s="97" t="inlineStr">
        <is>
          <t>0711213484</t>
        </is>
      </c>
      <c r="E130" s="98" t="inlineStr">
        <is>
          <t>sajanidhananjana2004@gmail.com</t>
        </is>
      </c>
      <c r="F130" s="110">
        <f>COUNTIF(G130:N130,"Y")</f>
        <v/>
      </c>
      <c r="G130" s="101" t="n"/>
      <c r="H130" s="101" t="n"/>
      <c r="I130" s="101" t="n"/>
      <c r="J130" s="100" t="inlineStr">
        <is>
          <t>Y</t>
        </is>
      </c>
      <c r="K130" s="101" t="n"/>
      <c r="L130" s="101" t="n"/>
    </row>
    <row r="131" hidden="1" ht="22.5" customHeight="1" s="108">
      <c r="A131" s="103" t="inlineStr">
        <is>
          <t>Himasari M.M.P.W</t>
        </is>
      </c>
      <c r="B131" s="97" t="inlineStr">
        <is>
          <t>200481000000</t>
        </is>
      </c>
      <c r="C131" s="97" t="inlineStr">
        <is>
          <t>102566930</t>
        </is>
      </c>
      <c r="D131" s="97" t="inlineStr">
        <is>
          <t>0715947496</t>
        </is>
      </c>
      <c r="E131" s="98" t="inlineStr">
        <is>
          <t>en25300181@my.sliit.lk</t>
        </is>
      </c>
      <c r="F131" s="110">
        <f>COUNTIF(G131:N131,"Y")</f>
        <v/>
      </c>
      <c r="G131" s="101" t="n"/>
      <c r="H131" s="101" t="n"/>
      <c r="I131" s="101" t="n"/>
      <c r="J131" s="100" t="inlineStr">
        <is>
          <t>Y</t>
        </is>
      </c>
      <c r="K131" s="100" t="inlineStr">
        <is>
          <t>Y</t>
        </is>
      </c>
      <c r="L131" s="101" t="n"/>
    </row>
    <row r="132" hidden="1" ht="22.5" customHeight="1" s="108">
      <c r="A132" s="103" t="inlineStr">
        <is>
          <t>Oshan Rajakaruna</t>
        </is>
      </c>
      <c r="B132" s="97" t="inlineStr">
        <is>
          <t>200111000000</t>
        </is>
      </c>
      <c r="C132" s="97" t="inlineStr">
        <is>
          <t>102622026</t>
        </is>
      </c>
      <c r="D132" s="97" t="inlineStr">
        <is>
          <t>0703165099</t>
        </is>
      </c>
      <c r="E132" s="98" t="inlineStr">
        <is>
          <t>oshanrajakaruna.studies@gmail.com</t>
        </is>
      </c>
      <c r="F132" s="110">
        <f>COUNTIF(G132:N132,"Y")</f>
        <v/>
      </c>
      <c r="G132" s="101" t="n"/>
      <c r="H132" s="101" t="n"/>
      <c r="I132" s="101" t="n"/>
      <c r="J132" s="100" t="inlineStr">
        <is>
          <t>Y</t>
        </is>
      </c>
      <c r="K132" s="100" t="inlineStr">
        <is>
          <t>Y</t>
        </is>
      </c>
      <c r="L132" s="101" t="n"/>
    </row>
    <row r="133" hidden="1" ht="22.5" customHeight="1" s="108">
      <c r="A133" s="103" t="inlineStr">
        <is>
          <t>Roneth Asvin</t>
        </is>
      </c>
      <c r="B133" s="97" t="inlineStr">
        <is>
          <t>200421000000</t>
        </is>
      </c>
      <c r="C133" s="97" t="inlineStr">
        <is>
          <t>102571882</t>
        </is>
      </c>
      <c r="D133" s="97" t="inlineStr">
        <is>
          <t>0764215348</t>
        </is>
      </c>
      <c r="E133" s="98" t="inlineStr">
        <is>
          <t>asvinroneth@gmail.com</t>
        </is>
      </c>
      <c r="F133" s="110">
        <f>COUNTIF(G133:N133,"Y")</f>
        <v/>
      </c>
      <c r="G133" s="101" t="n"/>
      <c r="H133" s="101" t="n"/>
      <c r="I133" s="101" t="n"/>
      <c r="J133" s="100" t="inlineStr">
        <is>
          <t>Y</t>
        </is>
      </c>
      <c r="K133" s="101" t="n"/>
      <c r="L133" s="101" t="n"/>
    </row>
    <row r="134" hidden="1" ht="22.5" customHeight="1" s="108">
      <c r="A134" s="103" t="inlineStr">
        <is>
          <t>Sunjai Kajendrajith</t>
        </is>
      </c>
      <c r="B134" s="97" t="inlineStr">
        <is>
          <t>200501400542</t>
        </is>
      </c>
      <c r="C134" s="97" t="inlineStr">
        <is>
          <t>101161193</t>
        </is>
      </c>
      <c r="D134" s="97" t="inlineStr">
        <is>
          <t>0774458024</t>
        </is>
      </c>
      <c r="E134" s="98" t="inlineStr">
        <is>
          <t>sunkajendrajith@gmail.com</t>
        </is>
      </c>
      <c r="F134" s="110">
        <f>COUNTIF(G134:N134,"Y")</f>
        <v/>
      </c>
      <c r="G134" s="101" t="n"/>
      <c r="H134" s="101" t="n"/>
      <c r="I134" s="101" t="n"/>
      <c r="J134" s="101" t="n"/>
      <c r="K134" s="100" t="inlineStr">
        <is>
          <t>Y</t>
        </is>
      </c>
      <c r="L134" s="101" t="n"/>
      <c r="N134" s="111" t="inlineStr">
        <is>
          <t>Y</t>
        </is>
      </c>
    </row>
    <row r="135" hidden="1" ht="22.5" customHeight="1" s="108">
      <c r="A135" s="103" t="inlineStr">
        <is>
          <t>Devinda Fonseka</t>
        </is>
      </c>
      <c r="B135" s="97" t="inlineStr">
        <is>
          <t>200528904897</t>
        </is>
      </c>
      <c r="C135" s="97" t="inlineStr">
        <is>
          <t>102646010</t>
        </is>
      </c>
      <c r="D135" s="97" t="inlineStr">
        <is>
          <t>0714289080</t>
        </is>
      </c>
      <c r="E135" s="98" t="inlineStr">
        <is>
          <t>devfon@outlook.com</t>
        </is>
      </c>
      <c r="F135" s="110">
        <f>COUNTIF(G135:N135,"Y")</f>
        <v/>
      </c>
      <c r="G135" s="101" t="n"/>
      <c r="H135" s="101" t="n"/>
      <c r="I135" s="101" t="n"/>
      <c r="J135" s="101" t="n"/>
      <c r="K135" s="100" t="inlineStr">
        <is>
          <t>Y</t>
        </is>
      </c>
      <c r="L135" s="101" t="n"/>
    </row>
    <row r="136" hidden="1" ht="22.5" customHeight="1" s="108">
      <c r="A136" s="103" t="inlineStr">
        <is>
          <t>Senul mintharu somarathna</t>
        </is>
      </c>
      <c r="B136" s="97" t="inlineStr">
        <is>
          <t>200428303431</t>
        </is>
      </c>
      <c r="C136" s="97" t="n"/>
      <c r="D136" s="97" t="inlineStr">
        <is>
          <t>0716341217</t>
        </is>
      </c>
      <c r="E136" s="98" t="inlineStr">
        <is>
          <t>senulmintharu@gmail.com</t>
        </is>
      </c>
      <c r="F136" s="110">
        <f>COUNTIF(G136:N136,"Y")</f>
        <v/>
      </c>
      <c r="G136" s="101" t="n"/>
      <c r="H136" s="101" t="n"/>
      <c r="I136" s="101" t="n"/>
      <c r="J136" s="101" t="n"/>
      <c r="K136" s="100" t="inlineStr">
        <is>
          <t>Y</t>
        </is>
      </c>
      <c r="L136" s="101" t="n"/>
    </row>
    <row r="137" hidden="1" ht="22.5" customHeight="1" s="108">
      <c r="A137" s="103" t="inlineStr">
        <is>
          <t>Inupama Caldera</t>
        </is>
      </c>
      <c r="B137" s="97" t="inlineStr">
        <is>
          <t>200374200536</t>
        </is>
      </c>
      <c r="C137" s="97" t="n"/>
      <c r="D137" s="97" t="inlineStr">
        <is>
          <t>0774981865</t>
        </is>
      </c>
      <c r="E137" s="98" t="inlineStr">
        <is>
          <t>inupamacaldera@gmail.com</t>
        </is>
      </c>
      <c r="F137" s="110">
        <f>COUNTIF(G137:N137,"Y")</f>
        <v/>
      </c>
      <c r="G137" s="101" t="n"/>
      <c r="H137" s="101" t="n"/>
      <c r="I137" s="101" t="n"/>
      <c r="J137" s="101" t="n"/>
      <c r="K137" s="100" t="inlineStr">
        <is>
          <t>Y</t>
        </is>
      </c>
      <c r="L137" s="101" t="n"/>
    </row>
    <row r="138" hidden="1" ht="22.5" customHeight="1" s="108">
      <c r="A138" s="103" t="inlineStr">
        <is>
          <t>Imeth Liyanaarachchi</t>
        </is>
      </c>
      <c r="B138" s="97" t="inlineStr">
        <is>
          <t>200234600918</t>
        </is>
      </c>
      <c r="C138" s="97" t="n"/>
      <c r="D138" s="97" t="inlineStr">
        <is>
          <t>0705778826</t>
        </is>
      </c>
      <c r="E138" s="98" t="inlineStr">
        <is>
          <t>imetheeshan@gmail.com</t>
        </is>
      </c>
      <c r="F138" s="110">
        <f>COUNTIF(G138:N138,"Y")</f>
        <v/>
      </c>
      <c r="G138" s="101" t="n"/>
      <c r="H138" s="101" t="n"/>
      <c r="I138" s="101" t="n"/>
      <c r="J138" s="101" t="n"/>
      <c r="K138" s="100" t="inlineStr">
        <is>
          <t>Y</t>
        </is>
      </c>
      <c r="L138" s="101" t="n"/>
      <c r="N138" s="111" t="inlineStr">
        <is>
          <t>Y</t>
        </is>
      </c>
    </row>
    <row r="139" hidden="1" ht="22.5" customHeight="1" s="108">
      <c r="A139" s="103" t="inlineStr">
        <is>
          <t>Jesuyaan Sivarasa</t>
        </is>
      </c>
      <c r="B139" s="97" t="inlineStr">
        <is>
          <t>200508604532</t>
        </is>
      </c>
      <c r="C139" s="97" t="n"/>
      <c r="D139" s="97" t="inlineStr">
        <is>
          <t>0758039409</t>
        </is>
      </c>
      <c r="E139" s="98" t="inlineStr">
        <is>
          <t>jesuyaan.jj26@gmail.com</t>
        </is>
      </c>
      <c r="F139" s="110">
        <f>COUNTIF(G139:N139,"Y")</f>
        <v/>
      </c>
      <c r="G139" s="101" t="n"/>
      <c r="H139" s="101" t="n"/>
      <c r="I139" s="101" t="n"/>
      <c r="J139" s="101" t="n"/>
      <c r="K139" s="100" t="inlineStr">
        <is>
          <t>Y</t>
        </is>
      </c>
      <c r="L139" s="101" t="n"/>
    </row>
    <row r="140" hidden="1" ht="22.5" customHeight="1" s="108">
      <c r="A140" s="103" t="inlineStr">
        <is>
          <t>R.A.UDARA SAHAN RANWALA</t>
        </is>
      </c>
      <c r="B140" s="97" t="inlineStr">
        <is>
          <t>200504501211</t>
        </is>
      </c>
      <c r="C140" s="97" t="n"/>
      <c r="D140" s="97" t="inlineStr">
        <is>
          <t>0714292641</t>
        </is>
      </c>
      <c r="E140" s="98" t="inlineStr">
        <is>
          <t>udarasahan2005@gmail.com</t>
        </is>
      </c>
      <c r="F140" s="110">
        <f>COUNTIF(G140:N140,"Y")</f>
        <v/>
      </c>
      <c r="G140" s="101" t="n"/>
      <c r="H140" s="101" t="n"/>
      <c r="I140" s="101" t="n"/>
      <c r="J140" s="101" t="n"/>
      <c r="K140" s="100" t="inlineStr">
        <is>
          <t>Y</t>
        </is>
      </c>
      <c r="L140" s="101" t="n"/>
      <c r="N140" s="111" t="inlineStr">
        <is>
          <t>Y</t>
        </is>
      </c>
    </row>
    <row r="141" hidden="1" ht="22.5" customHeight="1" s="108">
      <c r="A141" s="103" t="inlineStr">
        <is>
          <t>Thamuditha Kewan</t>
        </is>
      </c>
      <c r="B141" s="97" t="inlineStr">
        <is>
          <t>200530703285</t>
        </is>
      </c>
      <c r="C141" s="97" t="n"/>
      <c r="D141" s="97" t="inlineStr">
        <is>
          <t>0787462729</t>
        </is>
      </c>
      <c r="E141" s="98" t="inlineStr">
        <is>
          <t>tkewan.live@gmail.com</t>
        </is>
      </c>
      <c r="F141" s="110">
        <f>COUNTIF(G141:N141,"Y")</f>
        <v/>
      </c>
      <c r="G141" s="101" t="n"/>
      <c r="H141" s="101" t="n"/>
      <c r="I141" s="101" t="n"/>
      <c r="J141" s="101" t="n"/>
      <c r="K141" s="100" t="inlineStr">
        <is>
          <t>Y</t>
        </is>
      </c>
      <c r="L141" s="101" t="n"/>
    </row>
    <row r="142" hidden="1" ht="22.5" customHeight="1" s="108">
      <c r="A142" s="103" t="inlineStr">
        <is>
          <t>Senitha Anujaya</t>
        </is>
      </c>
      <c r="B142" s="97" t="inlineStr">
        <is>
          <t>200425804148</t>
        </is>
      </c>
      <c r="C142" s="97" t="inlineStr">
        <is>
          <t>102569659</t>
        </is>
      </c>
      <c r="D142" s="97" t="inlineStr">
        <is>
          <t>0710701154</t>
        </is>
      </c>
      <c r="E142" s="98" t="inlineStr">
        <is>
          <t>senitha14anujaya@gmail.com</t>
        </is>
      </c>
      <c r="F142" s="110">
        <f>COUNTIF(G142:N142,"Y")</f>
        <v/>
      </c>
      <c r="G142" s="101" t="n"/>
      <c r="H142" s="101" t="n"/>
      <c r="I142" s="101" t="n"/>
      <c r="J142" s="101" t="n"/>
      <c r="K142" s="100" t="inlineStr">
        <is>
          <t>Y</t>
        </is>
      </c>
      <c r="L142" s="101" t="n"/>
      <c r="M142" s="111" t="inlineStr">
        <is>
          <t>Y</t>
        </is>
      </c>
    </row>
    <row r="143" hidden="1" ht="22.5" customHeight="1" s="108">
      <c r="A143" s="103" t="inlineStr">
        <is>
          <t>Shagash Karthigeson</t>
        </is>
      </c>
      <c r="B143" s="97" t="inlineStr">
        <is>
          <t>200507104301</t>
        </is>
      </c>
      <c r="C143" s="97" t="inlineStr">
        <is>
          <t>101572728</t>
        </is>
      </c>
      <c r="D143" s="97" t="inlineStr">
        <is>
          <t>0756653261</t>
        </is>
      </c>
      <c r="E143" s="98" t="inlineStr">
        <is>
          <t>kshagash@gmail.com</t>
        </is>
      </c>
      <c r="F143" s="110">
        <f>COUNTIF(G143:N143,"Y")</f>
        <v/>
      </c>
      <c r="G143" s="101" t="n"/>
      <c r="H143" s="101" t="n"/>
      <c r="I143" s="101" t="n"/>
      <c r="J143" s="101" t="n"/>
      <c r="K143" s="100" t="inlineStr">
        <is>
          <t>Y</t>
        </is>
      </c>
      <c r="L143" s="101" t="n"/>
    </row>
    <row r="144" hidden="1" ht="22.5" customHeight="1" s="108">
      <c r="A144" s="103" t="inlineStr">
        <is>
          <t>Gaveen Perera</t>
        </is>
      </c>
      <c r="B144" s="97" t="inlineStr">
        <is>
          <t>200731204986</t>
        </is>
      </c>
      <c r="C144" s="97" t="inlineStr">
        <is>
          <t>102644429</t>
        </is>
      </c>
      <c r="D144" s="97" t="inlineStr">
        <is>
          <t>0774170117</t>
        </is>
      </c>
      <c r="E144" s="98" t="inlineStr">
        <is>
          <t>gaveenperera7@gmail.com</t>
        </is>
      </c>
      <c r="F144" s="110">
        <f>COUNTIF(G144:N144,"Y")</f>
        <v/>
      </c>
      <c r="G144" s="101" t="n"/>
      <c r="H144" s="101" t="n"/>
      <c r="I144" s="101" t="n"/>
      <c r="J144" s="101" t="n"/>
      <c r="K144" s="100" t="inlineStr">
        <is>
          <t>Y</t>
        </is>
      </c>
      <c r="L144" s="101" t="n"/>
    </row>
    <row r="145" hidden="1" ht="22.5" customHeight="1" s="108">
      <c r="A145" s="103" t="inlineStr">
        <is>
          <t>J. W. C Jananjana</t>
        </is>
      </c>
      <c r="B145" s="97" t="inlineStr">
        <is>
          <t>200360911620</t>
        </is>
      </c>
      <c r="C145" s="97" t="inlineStr">
        <is>
          <t>102641066</t>
        </is>
      </c>
      <c r="D145" s="97" t="inlineStr">
        <is>
          <t>0768102878</t>
        </is>
      </c>
      <c r="E145" s="98" t="inlineStr">
        <is>
          <t>jaan25liyanage@gmail.com</t>
        </is>
      </c>
      <c r="F145" s="110">
        <f>COUNTIF(G145:N145,"Y")</f>
        <v/>
      </c>
      <c r="G145" s="101" t="n"/>
      <c r="H145" s="101" t="n"/>
      <c r="I145" s="101" t="n"/>
      <c r="J145" s="101" t="n"/>
      <c r="K145" s="100" t="inlineStr">
        <is>
          <t>Y</t>
        </is>
      </c>
      <c r="L145" s="101" t="n"/>
    </row>
    <row r="146" hidden="1" ht="22.5" customHeight="1" s="108">
      <c r="A146" s="103" t="inlineStr">
        <is>
          <t>Pavitha.M</t>
        </is>
      </c>
      <c r="B146" s="97" t="inlineStr">
        <is>
          <t>200460301585</t>
        </is>
      </c>
      <c r="C146" s="97" t="inlineStr">
        <is>
          <t>102645600</t>
        </is>
      </c>
      <c r="D146" s="97" t="inlineStr">
        <is>
          <t>0766277417</t>
        </is>
      </c>
      <c r="E146" s="98" t="inlineStr">
        <is>
          <t>sanupavi1220@gmail.com</t>
        </is>
      </c>
      <c r="F146" s="110">
        <f>COUNTIF(G146:N146,"Y")</f>
        <v/>
      </c>
      <c r="G146" s="101" t="n"/>
      <c r="H146" s="101" t="n"/>
      <c r="I146" s="101" t="n"/>
      <c r="J146" s="101" t="n"/>
      <c r="K146" s="100" t="inlineStr">
        <is>
          <t>Y</t>
        </is>
      </c>
      <c r="L146" s="101" t="n"/>
    </row>
    <row r="147" hidden="1" ht="22.5" customHeight="1" s="108">
      <c r="A147" s="103" t="inlineStr">
        <is>
          <t>Dinali Sewmini Nawarathna</t>
        </is>
      </c>
      <c r="B147" s="97" t="inlineStr">
        <is>
          <t>200282001902</t>
        </is>
      </c>
      <c r="C147" s="97" t="inlineStr">
        <is>
          <t>102644287</t>
        </is>
      </c>
      <c r="D147" s="97" t="inlineStr">
        <is>
          <t>0767697253</t>
        </is>
      </c>
      <c r="E147" s="98" t="inlineStr">
        <is>
          <t>dinalinawarathna@gmail.com</t>
        </is>
      </c>
      <c r="F147" s="110">
        <f>COUNTIF(G147:N147,"Y")</f>
        <v/>
      </c>
      <c r="G147" s="101" t="n"/>
      <c r="H147" s="101" t="n"/>
      <c r="I147" s="101" t="n"/>
      <c r="J147" s="101" t="n"/>
      <c r="K147" s="100" t="inlineStr">
        <is>
          <t>Y</t>
        </is>
      </c>
      <c r="L147" s="101" t="n"/>
    </row>
    <row r="148" hidden="1" ht="22.5" customHeight="1" s="108">
      <c r="A148" s="103" t="inlineStr">
        <is>
          <t>Pabasara Gunawardhana</t>
        </is>
      </c>
      <c r="B148" s="97" t="inlineStr">
        <is>
          <t>200583000638</t>
        </is>
      </c>
      <c r="C148" s="97" t="inlineStr">
        <is>
          <t>102638092</t>
        </is>
      </c>
      <c r="D148" s="97" t="inlineStr">
        <is>
          <t>0715526677</t>
        </is>
      </c>
      <c r="E148" s="98" t="inlineStr">
        <is>
          <t>pabagunawardhana@gmail.com</t>
        </is>
      </c>
      <c r="F148" s="110">
        <f>COUNTIF(G148:N148,"Y")</f>
        <v/>
      </c>
      <c r="G148" s="101" t="n"/>
      <c r="H148" s="101" t="n"/>
      <c r="I148" s="101" t="n"/>
      <c r="J148" s="101" t="n"/>
      <c r="K148" s="100" t="inlineStr">
        <is>
          <t>Y</t>
        </is>
      </c>
      <c r="L148" s="101" t="n"/>
    </row>
    <row r="149" hidden="1" ht="22.5" customHeight="1" s="108">
      <c r="A149" s="103" t="inlineStr">
        <is>
          <t>Poorni Dananjana Rathnayake</t>
        </is>
      </c>
      <c r="B149" s="97" t="inlineStr">
        <is>
          <t>200352303577</t>
        </is>
      </c>
      <c r="C149" s="97" t="inlineStr">
        <is>
          <t>102198902</t>
        </is>
      </c>
      <c r="D149" s="97" t="inlineStr">
        <is>
          <t>0716591567</t>
        </is>
      </c>
      <c r="E149" s="98" t="inlineStr">
        <is>
          <t>poorniidananjanaa01@gmail.com</t>
        </is>
      </c>
      <c r="F149" s="110">
        <f>COUNTIF(G149:N149,"Y")</f>
        <v/>
      </c>
      <c r="G149" s="101" t="n"/>
      <c r="H149" s="101" t="n"/>
      <c r="I149" s="101" t="n"/>
      <c r="J149" s="101" t="n"/>
      <c r="K149" s="100" t="inlineStr">
        <is>
          <t>Y</t>
        </is>
      </c>
      <c r="L149" s="101" t="n"/>
      <c r="M149" s="111" t="inlineStr">
        <is>
          <t>Y</t>
        </is>
      </c>
    </row>
    <row r="150" hidden="1" ht="22.5" customHeight="1" s="108">
      <c r="A150" s="103" t="inlineStr">
        <is>
          <t>Saravanaa Ravi</t>
        </is>
      </c>
      <c r="B150" s="97" t="inlineStr">
        <is>
          <t>200300800837</t>
        </is>
      </c>
      <c r="C150" s="97" t="n"/>
      <c r="D150" s="97" t="inlineStr">
        <is>
          <t>0707021807</t>
        </is>
      </c>
      <c r="E150" s="98" t="inlineStr">
        <is>
          <t>saravanaaravi218@gmail.com</t>
        </is>
      </c>
      <c r="F150" s="110">
        <f>COUNTIF(G150:N150,"Y")</f>
        <v/>
      </c>
      <c r="G150" s="101" t="n"/>
      <c r="H150" s="101" t="n"/>
      <c r="I150" s="101" t="n"/>
      <c r="J150" s="101" t="n"/>
      <c r="K150" s="100" t="inlineStr">
        <is>
          <t>Y</t>
        </is>
      </c>
      <c r="L150" s="101" t="n"/>
    </row>
    <row r="151" hidden="1" ht="22.5" customHeight="1" s="108">
      <c r="A151" s="103" t="inlineStr">
        <is>
          <t>Imanya Gunarathne</t>
        </is>
      </c>
      <c r="B151" s="97" t="inlineStr">
        <is>
          <t>200563901946</t>
        </is>
      </c>
      <c r="C151" s="97" t="inlineStr">
        <is>
          <t>102647041</t>
        </is>
      </c>
      <c r="D151" s="97" t="inlineStr">
        <is>
          <t>0763045629</t>
        </is>
      </c>
      <c r="E151" s="98" t="inlineStr">
        <is>
          <t>imanyaa18@gmail.com</t>
        </is>
      </c>
      <c r="F151" s="110">
        <f>COUNTIF(G151:N151,"Y")</f>
        <v/>
      </c>
      <c r="G151" s="101" t="n"/>
      <c r="H151" s="101" t="n"/>
      <c r="I151" s="101" t="n"/>
      <c r="J151" s="101" t="n"/>
      <c r="K151" s="100" t="inlineStr">
        <is>
          <t>Y</t>
        </is>
      </c>
      <c r="L151" s="101" t="n"/>
      <c r="N151" s="111" t="inlineStr">
        <is>
          <t>Y</t>
        </is>
      </c>
    </row>
    <row r="152" ht="22.5" customHeight="1" s="108">
      <c r="A152" s="103" t="inlineStr">
        <is>
          <t>Rumesha Nisadi</t>
        </is>
      </c>
      <c r="B152" s="97" t="inlineStr">
        <is>
          <t>200379912214</t>
        </is>
      </c>
      <c r="C152" s="97" t="n"/>
      <c r="D152" s="97" t="inlineStr">
        <is>
          <t>0776040512</t>
        </is>
      </c>
      <c r="E152" s="98" t="inlineStr">
        <is>
          <t>rumeshanisadi3002@gmail.com</t>
        </is>
      </c>
      <c r="F152" s="110">
        <f>COUNTIF(G152:N152,"Y")</f>
        <v/>
      </c>
      <c r="G152" s="101" t="n"/>
      <c r="H152" s="101" t="n"/>
      <c r="I152" s="101" t="n"/>
      <c r="J152" s="101" t="n"/>
      <c r="K152" s="101" t="n"/>
      <c r="L152" s="100" t="inlineStr">
        <is>
          <t>Y</t>
        </is>
      </c>
    </row>
    <row r="153" ht="22.5" customHeight="1" s="108">
      <c r="A153" s="103" t="inlineStr">
        <is>
          <t>K.G.N.D.Siriwardhana</t>
        </is>
      </c>
      <c r="B153" s="97" t="inlineStr">
        <is>
          <t>200363700136</t>
        </is>
      </c>
      <c r="C153" s="97" t="n"/>
      <c r="D153" s="97" t="inlineStr">
        <is>
          <t>0714514446</t>
        </is>
      </c>
      <c r="E153" s="98" t="inlineStr">
        <is>
          <t>nipunisiriwardhana163@gmail.com</t>
        </is>
      </c>
      <c r="F153" s="110">
        <f>COUNTIF(G153:N153,"Y")</f>
        <v/>
      </c>
      <c r="G153" s="101" t="n"/>
      <c r="H153" s="101" t="n"/>
      <c r="I153" s="101" t="n"/>
      <c r="J153" s="101" t="n"/>
      <c r="K153" s="101" t="n"/>
      <c r="L153" s="100" t="inlineStr">
        <is>
          <t>Y</t>
        </is>
      </c>
    </row>
    <row r="154" ht="22.5" customHeight="1" s="108">
      <c r="A154" s="103" t="inlineStr">
        <is>
          <t>Minadi Pathirana</t>
        </is>
      </c>
      <c r="B154" s="97" t="inlineStr">
        <is>
          <t>200368501142</t>
        </is>
      </c>
      <c r="C154" s="97" t="n"/>
      <c r="D154" s="97" t="inlineStr">
        <is>
          <t>0776552986</t>
        </is>
      </c>
      <c r="E154" s="98" t="inlineStr">
        <is>
          <t>minadipathirana2003@gmail.com</t>
        </is>
      </c>
      <c r="F154" s="110">
        <f>COUNTIF(G154:N154,"Y")</f>
        <v/>
      </c>
      <c r="G154" s="101" t="n"/>
      <c r="H154" s="101" t="n"/>
      <c r="I154" s="101" t="n"/>
      <c r="J154" s="101" t="n"/>
      <c r="K154" s="101" t="n"/>
      <c r="L154" s="100" t="inlineStr">
        <is>
          <t>Y</t>
        </is>
      </c>
    </row>
    <row r="155" ht="22.5" customHeight="1" s="108">
      <c r="A155" s="103" t="inlineStr">
        <is>
          <t>Y.A. Hansika Dulanjani Wijesinghe</t>
        </is>
      </c>
      <c r="B155" s="97" t="inlineStr">
        <is>
          <t>200455410683</t>
        </is>
      </c>
      <c r="C155" s="97" t="n"/>
      <c r="D155" s="97" t="inlineStr">
        <is>
          <t>0714735904</t>
        </is>
      </c>
      <c r="E155" s="98" t="inlineStr">
        <is>
          <t>hansikadulanjani223@gmail.com</t>
        </is>
      </c>
      <c r="F155" s="110">
        <f>COUNTIF(G155:N155,"Y")</f>
        <v/>
      </c>
      <c r="G155" s="101" t="n"/>
      <c r="H155" s="101" t="n"/>
      <c r="I155" s="101" t="n"/>
      <c r="J155" s="101" t="n"/>
      <c r="K155" s="101" t="n"/>
      <c r="L155" s="100" t="inlineStr">
        <is>
          <t>Y</t>
        </is>
      </c>
    </row>
    <row r="156" ht="22.5" customHeight="1" s="108">
      <c r="A156" s="103" t="inlineStr">
        <is>
          <t>Chanuka nuwan niroshana</t>
        </is>
      </c>
      <c r="B156" s="97" t="inlineStr">
        <is>
          <t>200210903403</t>
        </is>
      </c>
      <c r="C156" s="97" t="n"/>
      <c r="D156" s="97" t="inlineStr">
        <is>
          <t>0752212421</t>
        </is>
      </c>
      <c r="E156" s="98" t="inlineStr">
        <is>
          <t>chanukaxnuwan@gmail.com</t>
        </is>
      </c>
      <c r="F156" s="110">
        <f>COUNTIF(G156:N156,"Y")</f>
        <v/>
      </c>
      <c r="G156" s="101" t="n"/>
      <c r="H156" s="101" t="n"/>
      <c r="I156" s="101" t="n"/>
      <c r="J156" s="101" t="n"/>
      <c r="K156" s="101" t="n"/>
      <c r="L156" s="100" t="inlineStr">
        <is>
          <t>Y</t>
        </is>
      </c>
    </row>
    <row r="157" ht="22.5" customHeight="1" s="108">
      <c r="A157" s="103" t="inlineStr">
        <is>
          <t>Isira pabasara</t>
        </is>
      </c>
      <c r="B157" s="97" t="inlineStr">
        <is>
          <t>200702800820</t>
        </is>
      </c>
      <c r="C157" s="97" t="n"/>
      <c r="D157" s="97" t="inlineStr">
        <is>
          <t>0755968340</t>
        </is>
      </c>
      <c r="E157" s="98" t="inlineStr">
        <is>
          <t>isirapabasara123@gmail.com</t>
        </is>
      </c>
      <c r="F157" s="110">
        <f>COUNTIF(G157:N157,"Y")</f>
        <v/>
      </c>
      <c r="G157" s="101" t="n"/>
      <c r="H157" s="101" t="n"/>
      <c r="I157" s="101" t="n"/>
      <c r="J157" s="101" t="n"/>
      <c r="K157" s="101" t="n"/>
      <c r="L157" s="100" t="inlineStr">
        <is>
          <t>Y</t>
        </is>
      </c>
    </row>
    <row r="158" ht="22.5" customHeight="1" s="108">
      <c r="A158" s="103" t="inlineStr">
        <is>
          <t>Tharupathi Pinsara</t>
        </is>
      </c>
      <c r="B158" s="97" t="inlineStr">
        <is>
          <t>200423203778</t>
        </is>
      </c>
      <c r="C158" s="97" t="n"/>
      <c r="D158" s="97" t="inlineStr">
        <is>
          <t>0778071774</t>
        </is>
      </c>
      <c r="E158" s="98" t="inlineStr">
        <is>
          <t>tharupathipinsara@gmail.com</t>
        </is>
      </c>
      <c r="F158" s="110">
        <f>COUNTIF(G158:N158,"Y")</f>
        <v/>
      </c>
      <c r="G158" s="101" t="n"/>
      <c r="H158" s="101" t="n"/>
      <c r="I158" s="101" t="n"/>
      <c r="J158" s="101" t="n"/>
      <c r="K158" s="101" t="n"/>
      <c r="L158" s="100" t="inlineStr">
        <is>
          <t>Y</t>
        </is>
      </c>
    </row>
    <row r="159" ht="22.5" customHeight="1" s="108">
      <c r="A159" s="103" t="inlineStr">
        <is>
          <t>Supun Kalhara Jayasinghe</t>
        </is>
      </c>
      <c r="B159" s="97" t="inlineStr">
        <is>
          <t>200403110795</t>
        </is>
      </c>
      <c r="C159" s="97" t="n"/>
      <c r="D159" s="97" t="inlineStr">
        <is>
          <t>0789620569</t>
        </is>
      </c>
      <c r="E159" s="98" t="inlineStr">
        <is>
          <t>contact@supunkalhara.com</t>
        </is>
      </c>
      <c r="F159" s="110">
        <f>COUNTIF(G159:N159,"Y")</f>
        <v/>
      </c>
      <c r="G159" s="101" t="n"/>
      <c r="H159" s="101" t="n"/>
      <c r="I159" s="101" t="n"/>
      <c r="J159" s="101" t="n"/>
      <c r="K159" s="101" t="n"/>
      <c r="L159" s="100" t="inlineStr">
        <is>
          <t>Y</t>
        </is>
      </c>
    </row>
    <row r="160" ht="22.5" customHeight="1" s="108">
      <c r="A160" s="103" t="inlineStr">
        <is>
          <t>Yethmi Jayaratne</t>
        </is>
      </c>
      <c r="B160" s="97" t="inlineStr">
        <is>
          <t>200454011829</t>
        </is>
      </c>
      <c r="C160" s="97" t="n"/>
      <c r="D160" s="97" t="inlineStr">
        <is>
          <t>0711651586</t>
        </is>
      </c>
      <c r="E160" s="98" t="inlineStr">
        <is>
          <t>yethmiijayaratne@gmail.com</t>
        </is>
      </c>
      <c r="F160" s="110">
        <f>COUNTIF(G160:N160,"Y")</f>
        <v/>
      </c>
      <c r="G160" s="101" t="n"/>
      <c r="H160" s="101" t="n"/>
      <c r="I160" s="101" t="n"/>
      <c r="J160" s="101" t="n"/>
      <c r="K160" s="101" t="n"/>
      <c r="L160" s="100" t="inlineStr">
        <is>
          <t>Y</t>
        </is>
      </c>
    </row>
    <row r="161" ht="22.5" customHeight="1" s="108">
      <c r="A161" s="103" t="inlineStr">
        <is>
          <t>Nivakaran Shanmugabavan</t>
        </is>
      </c>
      <c r="B161" s="97" t="inlineStr">
        <is>
          <t>200208902949</t>
        </is>
      </c>
      <c r="C161" s="97" t="n"/>
      <c r="D161" s="97" t="inlineStr">
        <is>
          <t>0760015755</t>
        </is>
      </c>
      <c r="E161" s="98" t="inlineStr">
        <is>
          <t>nivakaran@hotmail.com</t>
        </is>
      </c>
      <c r="F161" s="110">
        <f>COUNTIF(G161:N161,"Y")</f>
        <v/>
      </c>
      <c r="G161" s="101" t="n"/>
      <c r="H161" s="101" t="n"/>
      <c r="I161" s="101" t="n"/>
      <c r="J161" s="101" t="n"/>
      <c r="K161" s="101" t="n"/>
      <c r="L161" s="100" t="inlineStr">
        <is>
          <t>Y</t>
        </is>
      </c>
    </row>
    <row r="162" ht="22.5" customHeight="1" s="108">
      <c r="A162" s="103" t="inlineStr">
        <is>
          <t>Vonara Athukorala</t>
        </is>
      </c>
      <c r="B162" s="97" t="inlineStr">
        <is>
          <t>200464201766</t>
        </is>
      </c>
      <c r="C162" s="97" t="n"/>
      <c r="D162" s="97" t="inlineStr">
        <is>
          <t>0757981554</t>
        </is>
      </c>
      <c r="E162" s="98" t="inlineStr">
        <is>
          <t>vonaraathukorala04@gmail.com</t>
        </is>
      </c>
      <c r="F162" s="110">
        <f>COUNTIF(G162:N162,"Y")</f>
        <v/>
      </c>
      <c r="G162" s="101" t="n"/>
      <c r="H162" s="101" t="n"/>
      <c r="I162" s="101" t="n"/>
      <c r="J162" s="101" t="n"/>
      <c r="K162" s="101" t="n"/>
      <c r="L162" s="100" t="inlineStr">
        <is>
          <t>Y</t>
        </is>
      </c>
    </row>
    <row r="163" ht="22.5" customHeight="1" s="108">
      <c r="A163" s="103" t="inlineStr">
        <is>
          <t>amami gunathilake</t>
        </is>
      </c>
      <c r="B163" s="97" t="inlineStr">
        <is>
          <t>200271601141</t>
        </is>
      </c>
      <c r="C163" s="97" t="n"/>
      <c r="D163" s="97" t="inlineStr">
        <is>
          <t>0760711033</t>
        </is>
      </c>
      <c r="E163" s="98" t="inlineStr">
        <is>
          <t>amamig.gunathilake@gmail.com</t>
        </is>
      </c>
      <c r="F163" s="110">
        <f>COUNTIF(G163:N163,"Y")</f>
        <v/>
      </c>
      <c r="G163" s="101" t="n"/>
      <c r="H163" s="101" t="n"/>
      <c r="I163" s="101" t="n"/>
      <c r="J163" s="101" t="n"/>
      <c r="K163" s="101" t="n"/>
      <c r="L163" s="100" t="inlineStr">
        <is>
          <t>Y</t>
        </is>
      </c>
    </row>
    <row r="164" ht="22.5" customHeight="1" s="108">
      <c r="A164" s="103" t="inlineStr">
        <is>
          <t>Roneth Bashana</t>
        </is>
      </c>
      <c r="B164" s="97" t="inlineStr">
        <is>
          <t>200412501102</t>
        </is>
      </c>
      <c r="C164" s="97" t="n"/>
      <c r="D164" s="97" t="inlineStr">
        <is>
          <t>0725044088</t>
        </is>
      </c>
      <c r="E164" s="98" t="inlineStr">
        <is>
          <t>ronethbashana4@gmail.com</t>
        </is>
      </c>
      <c r="F164" s="110">
        <f>COUNTIF(G164:N164,"Y")</f>
        <v/>
      </c>
      <c r="G164" s="101" t="n"/>
      <c r="H164" s="101" t="n"/>
      <c r="I164" s="101" t="n"/>
      <c r="J164" s="101" t="n"/>
      <c r="K164" s="101" t="n"/>
      <c r="L164" s="100" t="inlineStr">
        <is>
          <t>Y</t>
        </is>
      </c>
    </row>
    <row r="165" ht="22.5" customHeight="1" s="108">
      <c r="A165" s="103" t="inlineStr">
        <is>
          <t>Iyoob Mohamed Muaath</t>
        </is>
      </c>
      <c r="B165" s="97" t="inlineStr">
        <is>
          <t>200205301342</t>
        </is>
      </c>
      <c r="C165" s="97" t="n"/>
      <c r="D165" s="97" t="inlineStr">
        <is>
          <t>0752631611</t>
        </is>
      </c>
      <c r="E165" s="98" t="inlineStr">
        <is>
          <t>muaathim22@gmail.com</t>
        </is>
      </c>
      <c r="F165" s="110">
        <f>COUNTIF(G165:N165,"Y")</f>
        <v/>
      </c>
      <c r="G165" s="101" t="n"/>
      <c r="H165" s="101" t="n"/>
      <c r="I165" s="101" t="n"/>
      <c r="J165" s="101" t="n"/>
      <c r="K165" s="101" t="n"/>
      <c r="L165" s="100" t="inlineStr">
        <is>
          <t>Y</t>
        </is>
      </c>
    </row>
    <row r="166" ht="22.5" customHeight="1" s="108">
      <c r="A166" s="103" t="inlineStr">
        <is>
          <t>E.w.i.d.ekanayaka</t>
        </is>
      </c>
      <c r="B166" s="97" t="inlineStr">
        <is>
          <t>200208801882</t>
        </is>
      </c>
      <c r="C166" s="97" t="n"/>
      <c r="D166" s="97" t="inlineStr">
        <is>
          <t>0785493978</t>
        </is>
      </c>
      <c r="E166" s="98" t="inlineStr">
        <is>
          <t>ishandilhara57@gmail.com</t>
        </is>
      </c>
      <c r="F166" s="110">
        <f>COUNTIF(G166:N166,"Y")</f>
        <v/>
      </c>
      <c r="G166" s="101" t="n"/>
      <c r="H166" s="101" t="n"/>
      <c r="I166" s="101" t="n"/>
      <c r="J166" s="101" t="n"/>
      <c r="K166" s="101" t="n"/>
      <c r="L166" s="100" t="inlineStr">
        <is>
          <t>Y</t>
        </is>
      </c>
    </row>
    <row r="167" ht="22.5" customHeight="1" s="108">
      <c r="A167" s="103" t="inlineStr">
        <is>
          <t>Chandima Bandara</t>
        </is>
      </c>
      <c r="B167" s="97" t="inlineStr">
        <is>
          <t>200324210522</t>
        </is>
      </c>
      <c r="C167" s="97" t="n"/>
      <c r="D167" s="97" t="inlineStr">
        <is>
          <t>0728288317</t>
        </is>
      </c>
      <c r="E167" s="98" t="inlineStr">
        <is>
          <t>chandimacbbandara@gmail.com</t>
        </is>
      </c>
      <c r="F167" s="110">
        <f>COUNTIF(G167:N167,"Y")</f>
        <v/>
      </c>
      <c r="G167" s="101" t="n"/>
      <c r="H167" s="101" t="n"/>
      <c r="I167" s="101" t="n"/>
      <c r="J167" s="101" t="n"/>
      <c r="K167" s="101" t="n"/>
      <c r="L167" s="100" t="inlineStr">
        <is>
          <t>Y</t>
        </is>
      </c>
    </row>
    <row r="168" ht="22.5" customHeight="1" s="108">
      <c r="A168" s="103" t="inlineStr">
        <is>
          <t>Gaveesha Madhushan</t>
        </is>
      </c>
      <c r="B168" s="97" t="inlineStr">
        <is>
          <t>200215301630</t>
        </is>
      </c>
      <c r="C168" s="97" t="n"/>
      <c r="D168" s="97" t="inlineStr">
        <is>
          <t>0773875808</t>
        </is>
      </c>
      <c r="E168" s="98" t="inlineStr">
        <is>
          <t>gaveeshamadhushan15@gmail.com</t>
        </is>
      </c>
      <c r="F168" s="110">
        <f>COUNTIF(G168:N168,"Y")</f>
        <v/>
      </c>
      <c r="G168" s="101" t="n"/>
      <c r="H168" s="101" t="n"/>
      <c r="I168" s="101" t="n"/>
      <c r="J168" s="101" t="n"/>
      <c r="K168" s="101" t="n"/>
      <c r="L168" s="100" t="inlineStr">
        <is>
          <t>Y</t>
        </is>
      </c>
    </row>
    <row r="169" ht="22.5" customHeight="1" s="108">
      <c r="A169" s="103" t="inlineStr">
        <is>
          <t>Sishan Achinthya Hewapathirana</t>
        </is>
      </c>
      <c r="B169" s="97" t="inlineStr">
        <is>
          <t>200328410750</t>
        </is>
      </c>
      <c r="C169" s="97" t="n"/>
      <c r="D169" s="97" t="inlineStr">
        <is>
          <t>0713274788</t>
        </is>
      </c>
      <c r="E169" s="98" t="inlineStr">
        <is>
          <t>sishanhewa4@gmail.com</t>
        </is>
      </c>
      <c r="F169" s="110">
        <f>COUNTIF(G169:N169,"Y")</f>
        <v/>
      </c>
      <c r="G169" s="101" t="n"/>
      <c r="H169" s="101" t="n"/>
      <c r="I169" s="101" t="n"/>
      <c r="J169" s="101" t="n"/>
      <c r="K169" s="101" t="n"/>
      <c r="L169" s="100" t="inlineStr">
        <is>
          <t>Y</t>
        </is>
      </c>
    </row>
    <row r="170" ht="22.5" customHeight="1" s="108">
      <c r="A170" s="103" t="inlineStr">
        <is>
          <t>Thiloka Jeewani Kulathunga</t>
        </is>
      </c>
      <c r="B170" s="97" t="inlineStr">
        <is>
          <t>200369112314</t>
        </is>
      </c>
      <c r="C170" s="97" t="n"/>
      <c r="D170" s="97" t="inlineStr">
        <is>
          <t>0764300096</t>
        </is>
      </c>
      <c r="E170" s="98" t="inlineStr">
        <is>
          <t>it24100209@my.sliit.lk</t>
        </is>
      </c>
      <c r="F170" s="110">
        <f>COUNTIF(G170:N170,"Y")</f>
        <v/>
      </c>
      <c r="G170" s="101" t="n"/>
      <c r="H170" s="101" t="n"/>
      <c r="I170" s="101" t="n"/>
      <c r="J170" s="101" t="n"/>
      <c r="K170" s="101" t="n"/>
      <c r="L170" s="100" t="inlineStr">
        <is>
          <t>Y</t>
        </is>
      </c>
    </row>
    <row r="171" ht="22.5" customHeight="1" s="108">
      <c r="A171" s="103" t="inlineStr">
        <is>
          <t>Hashini Hansika</t>
        </is>
      </c>
      <c r="B171" s="97" t="inlineStr">
        <is>
          <t>200365711746</t>
        </is>
      </c>
      <c r="C171" s="97" t="n"/>
      <c r="D171" s="97" t="inlineStr">
        <is>
          <t>0763984663</t>
        </is>
      </c>
      <c r="E171" s="98" t="inlineStr">
        <is>
          <t>hansikahashini65@gmail.com</t>
        </is>
      </c>
      <c r="F171" s="110">
        <f>COUNTIF(G171:N171,"Y")</f>
        <v/>
      </c>
      <c r="G171" s="101" t="n"/>
      <c r="H171" s="101" t="n"/>
      <c r="I171" s="101" t="n"/>
      <c r="J171" s="101" t="n"/>
      <c r="K171" s="101" t="n"/>
      <c r="L171" s="100" t="inlineStr">
        <is>
          <t>Y</t>
        </is>
      </c>
    </row>
    <row r="172" ht="22.5" customHeight="1" s="108">
      <c r="A172" s="103" t="inlineStr">
        <is>
          <t>Manula Cooray</t>
        </is>
      </c>
      <c r="B172" s="97" t="inlineStr">
        <is>
          <t>200236000817</t>
        </is>
      </c>
      <c r="C172" s="97" t="n"/>
      <c r="D172" s="97" t="inlineStr">
        <is>
          <t>0702557227</t>
        </is>
      </c>
      <c r="E172" s="98" t="inlineStr">
        <is>
          <t>manulacooray@gmail.com</t>
        </is>
      </c>
      <c r="F172" s="110">
        <f>COUNTIF(G172:N172,"Y")</f>
        <v/>
      </c>
      <c r="G172" s="101" t="n"/>
      <c r="H172" s="101" t="n"/>
      <c r="I172" s="101" t="n"/>
      <c r="J172" s="101" t="n"/>
      <c r="K172" s="101" t="n"/>
      <c r="L172" s="100" t="inlineStr">
        <is>
          <t>Y</t>
        </is>
      </c>
    </row>
    <row r="173" ht="22.5" customHeight="1" s="108">
      <c r="A173" s="103" t="inlineStr">
        <is>
          <t>Oshadhi Manage</t>
        </is>
      </c>
      <c r="B173" s="97" t="inlineStr">
        <is>
          <t>200384211024</t>
        </is>
      </c>
      <c r="C173" s="97" t="n"/>
      <c r="D173" s="97" t="inlineStr">
        <is>
          <t>0710753854</t>
        </is>
      </c>
      <c r="E173" s="98" t="inlineStr">
        <is>
          <t>oshadhimanage@gmail.com</t>
        </is>
      </c>
      <c r="F173" s="110">
        <f>COUNTIF(G173:N173,"Y")</f>
        <v/>
      </c>
      <c r="G173" s="101" t="n"/>
      <c r="H173" s="101" t="n"/>
      <c r="I173" s="101" t="n"/>
      <c r="J173" s="101" t="n"/>
      <c r="K173" s="101" t="n"/>
      <c r="L173" s="100" t="inlineStr">
        <is>
          <t>Y</t>
        </is>
      </c>
    </row>
    <row r="174" ht="22.5" customHeight="1" s="108">
      <c r="A174" s="103" t="inlineStr">
        <is>
          <t>Maheen Navoda</t>
        </is>
      </c>
      <c r="B174" s="97" t="inlineStr">
        <is>
          <t>200429501140</t>
        </is>
      </c>
      <c r="C174" s="97" t="n"/>
      <c r="D174" s="97" t="inlineStr">
        <is>
          <t>0767328270</t>
        </is>
      </c>
      <c r="E174" s="98" t="inlineStr">
        <is>
          <t>maheennavoda04@gmail.com</t>
        </is>
      </c>
      <c r="F174" s="110">
        <f>COUNTIF(G174:N174,"Y")</f>
        <v/>
      </c>
      <c r="G174" s="101" t="n"/>
      <c r="H174" s="101" t="n"/>
      <c r="I174" s="101" t="n"/>
      <c r="J174" s="101" t="n"/>
      <c r="K174" s="101" t="n"/>
      <c r="L174" s="100" t="inlineStr">
        <is>
          <t>Y</t>
        </is>
      </c>
    </row>
    <row r="175" ht="22.5" customHeight="1" s="108">
      <c r="A175" s="103" t="inlineStr">
        <is>
          <t>Ranjula Adikari</t>
        </is>
      </c>
      <c r="B175" s="97" t="inlineStr">
        <is>
          <t>200428800685</t>
        </is>
      </c>
      <c r="C175" s="97" t="n"/>
      <c r="D175" s="97" t="inlineStr">
        <is>
          <t>0761863828</t>
        </is>
      </c>
      <c r="E175" s="98" t="inlineStr">
        <is>
          <t>ranjulaadikari2004@gmail.com</t>
        </is>
      </c>
      <c r="F175" s="110">
        <f>COUNTIF(G175:N175,"Y")</f>
        <v/>
      </c>
      <c r="G175" s="101" t="n"/>
      <c r="H175" s="101" t="n"/>
      <c r="I175" s="101" t="n"/>
      <c r="J175" s="101" t="n"/>
      <c r="K175" s="101" t="n"/>
      <c r="L175" s="100" t="inlineStr">
        <is>
          <t>Y</t>
        </is>
      </c>
    </row>
    <row r="176" ht="22.5" customHeight="1" s="108">
      <c r="A176" s="103" t="inlineStr">
        <is>
          <t>Vaishnaviey Karunananthan</t>
        </is>
      </c>
      <c r="B176" s="97" t="inlineStr">
        <is>
          <t>200580200414</t>
        </is>
      </c>
      <c r="C176" s="97" t="n"/>
      <c r="D176" s="97" t="inlineStr">
        <is>
          <t>0743916818</t>
        </is>
      </c>
      <c r="E176" s="98" t="inlineStr">
        <is>
          <t>vaishkaru28@gmail.com</t>
        </is>
      </c>
      <c r="F176" s="110">
        <f>COUNTIF(G176:N176,"Y")</f>
        <v/>
      </c>
      <c r="G176" s="101" t="n"/>
      <c r="H176" s="101" t="n"/>
      <c r="I176" s="101" t="n"/>
      <c r="J176" s="101" t="n"/>
      <c r="K176" s="101" t="n"/>
      <c r="L176" s="100" t="inlineStr">
        <is>
          <t>Y</t>
        </is>
      </c>
      <c r="N176" s="111" t="inlineStr">
        <is>
          <t>Y</t>
        </is>
      </c>
    </row>
    <row r="177" ht="22.5" customHeight="1" s="108">
      <c r="A177" s="103" t="inlineStr">
        <is>
          <t>W. Pinithi Ransara Fernando</t>
        </is>
      </c>
      <c r="B177" s="97" t="inlineStr">
        <is>
          <t>200366412481</t>
        </is>
      </c>
      <c r="C177" s="97" t="n"/>
      <c r="D177" s="97" t="inlineStr">
        <is>
          <t>0772218163</t>
        </is>
      </c>
      <c r="E177" s="98" t="inlineStr">
        <is>
          <t>pinithi0123ransara@gmail.com</t>
        </is>
      </c>
      <c r="F177" s="110">
        <f>COUNTIF(G177:N177,"Y")</f>
        <v/>
      </c>
      <c r="G177" s="101" t="n"/>
      <c r="H177" s="101" t="n"/>
      <c r="I177" s="101" t="n"/>
      <c r="J177" s="101" t="n"/>
      <c r="K177" s="101" t="n"/>
      <c r="L177" s="100" t="inlineStr">
        <is>
          <t>Y</t>
        </is>
      </c>
    </row>
    <row r="178" ht="22.5" customHeight="1" s="108">
      <c r="A178" s="103" t="inlineStr">
        <is>
          <t>Hashini Rajapaksha</t>
        </is>
      </c>
      <c r="B178" s="97" t="inlineStr">
        <is>
          <t>200371011867</t>
        </is>
      </c>
      <c r="C178" s="97" t="n"/>
      <c r="D178" s="97" t="inlineStr">
        <is>
          <t>0741606014</t>
        </is>
      </c>
      <c r="E178" s="98" t="inlineStr">
        <is>
          <t>hashinisandeepa7@gmail.com</t>
        </is>
      </c>
      <c r="F178" s="110">
        <f>COUNTIF(G178:N178,"Y")</f>
        <v/>
      </c>
      <c r="G178" s="101" t="n"/>
      <c r="H178" s="101" t="n"/>
      <c r="I178" s="101" t="n"/>
      <c r="J178" s="101" t="n"/>
      <c r="K178" s="101" t="n"/>
      <c r="L178" s="100" t="inlineStr">
        <is>
          <t>Y</t>
        </is>
      </c>
    </row>
    <row r="179" ht="22.5" customHeight="1" s="108">
      <c r="A179" s="103" t="inlineStr">
        <is>
          <t>Kaveen Hasanga</t>
        </is>
      </c>
      <c r="B179" s="97" t="inlineStr">
        <is>
          <t>200425404332</t>
        </is>
      </c>
      <c r="C179" s="97" t="n"/>
      <c r="D179" s="97" t="inlineStr">
        <is>
          <t>0717680297</t>
        </is>
      </c>
      <c r="E179" s="98" t="inlineStr">
        <is>
          <t>kaveenhasanga@gmail.com</t>
        </is>
      </c>
      <c r="F179" s="110">
        <f>COUNTIF(G179:N179,"Y")</f>
        <v/>
      </c>
      <c r="G179" s="101" t="n"/>
      <c r="H179" s="101" t="n"/>
      <c r="I179" s="101" t="n"/>
      <c r="J179" s="101" t="n"/>
      <c r="K179" s="101" t="n"/>
      <c r="L179" s="100" t="inlineStr">
        <is>
          <t>Y</t>
        </is>
      </c>
    </row>
    <row r="180" ht="22.5" customHeight="1" s="108">
      <c r="A180" s="103" t="inlineStr">
        <is>
          <t>Maheesha Pramuditha</t>
        </is>
      </c>
      <c r="B180" s="97" t="inlineStr">
        <is>
          <t>200412201424</t>
        </is>
      </c>
      <c r="C180" s="97" t="n"/>
      <c r="D180" s="97" t="inlineStr">
        <is>
          <t>0703849949</t>
        </is>
      </c>
      <c r="E180" s="98" t="inlineStr">
        <is>
          <t>pramudithamaheesha@gmail.com</t>
        </is>
      </c>
      <c r="F180" s="110">
        <f>COUNTIF(G180:N180,"Y")</f>
        <v/>
      </c>
      <c r="G180" s="101" t="n"/>
      <c r="H180" s="101" t="n"/>
      <c r="I180" s="101" t="n"/>
      <c r="J180" s="101" t="n"/>
      <c r="K180" s="101" t="n"/>
      <c r="L180" s="100" t="inlineStr">
        <is>
          <t>Y</t>
        </is>
      </c>
    </row>
    <row r="181" ht="22.5" customHeight="1" s="108">
      <c r="A181" s="103" t="inlineStr">
        <is>
          <t>Kalith Dabare</t>
        </is>
      </c>
      <c r="B181" s="97" t="inlineStr">
        <is>
          <t>200513303913</t>
        </is>
      </c>
      <c r="C181" s="97" t="n"/>
      <c r="D181" s="97" t="inlineStr">
        <is>
          <t>0703842009</t>
        </is>
      </c>
      <c r="E181" s="98" t="inlineStr">
        <is>
          <t>kalithdabare@gmail.com</t>
        </is>
      </c>
      <c r="F181" s="110">
        <f>COUNTIF(G181:N181,"Y")</f>
        <v/>
      </c>
      <c r="G181" s="101" t="n"/>
      <c r="H181" s="101" t="n"/>
      <c r="I181" s="101" t="n"/>
      <c r="J181" s="101" t="n"/>
      <c r="K181" s="101" t="n"/>
      <c r="L181" s="100" t="inlineStr">
        <is>
          <t>Y</t>
        </is>
      </c>
    </row>
    <row r="182" ht="22.5" customHeight="1" s="108">
      <c r="A182" s="103" t="inlineStr">
        <is>
          <t>Ruhansi Fernando</t>
        </is>
      </c>
      <c r="B182" s="97" t="inlineStr">
        <is>
          <t>200557302863</t>
        </is>
      </c>
      <c r="C182" s="97" t="n"/>
      <c r="D182" s="97" t="inlineStr">
        <is>
          <t>0770475762</t>
        </is>
      </c>
      <c r="E182" s="98" t="inlineStr">
        <is>
          <t>hrsrfernando.13@gmail.com</t>
        </is>
      </c>
      <c r="F182" s="110">
        <f>COUNTIF(G182:N182,"Y")</f>
        <v/>
      </c>
      <c r="G182" s="101" t="n"/>
      <c r="H182" s="101" t="n"/>
      <c r="I182" s="101" t="n"/>
      <c r="J182" s="101" t="n"/>
      <c r="K182" s="101" t="n"/>
      <c r="L182" s="100" t="inlineStr">
        <is>
          <t>Y</t>
        </is>
      </c>
    </row>
    <row r="183" ht="22.5" customHeight="1" s="108">
      <c r="A183" s="103" t="inlineStr">
        <is>
          <t>Nidhishan Sudharshan</t>
        </is>
      </c>
      <c r="B183" s="97" t="inlineStr">
        <is>
          <t>200602404605</t>
        </is>
      </c>
      <c r="C183" s="97" t="n"/>
      <c r="D183" s="97" t="inlineStr">
        <is>
          <t>0779079903</t>
        </is>
      </c>
      <c r="E183" s="98" t="inlineStr">
        <is>
          <t>nidhishansudharshan24@gmail.com</t>
        </is>
      </c>
      <c r="F183" s="110">
        <f>COUNTIF(G183:N183,"Y")</f>
        <v/>
      </c>
      <c r="G183" s="101" t="n"/>
      <c r="H183" s="101" t="n"/>
      <c r="I183" s="101" t="n"/>
      <c r="J183" s="101" t="n"/>
      <c r="K183" s="101" t="n"/>
      <c r="L183" s="100" t="inlineStr">
        <is>
          <t>Y</t>
        </is>
      </c>
    </row>
    <row r="184" ht="22.5" customHeight="1" s="108">
      <c r="A184" s="103" t="inlineStr">
        <is>
          <t>Thrishodaran</t>
        </is>
      </c>
      <c r="B184" s="97" t="inlineStr">
        <is>
          <t>200504201495</t>
        </is>
      </c>
      <c r="C184" s="97" t="inlineStr">
        <is>
          <t>102619809</t>
        </is>
      </c>
      <c r="D184" s="97" t="inlineStr">
        <is>
          <t>0763481066</t>
        </is>
      </c>
      <c r="E184" s="98" t="inlineStr">
        <is>
          <t>thrishor05@gmail.com</t>
        </is>
      </c>
      <c r="F184" s="110">
        <f>COUNTIF(G184:N184,"Y")</f>
        <v/>
      </c>
      <c r="G184" s="101" t="n"/>
      <c r="H184" s="101" t="n"/>
      <c r="I184" s="101" t="n"/>
      <c r="J184" s="101" t="n"/>
      <c r="K184" s="101" t="n"/>
      <c r="L184" s="100" t="inlineStr">
        <is>
          <t>Y</t>
        </is>
      </c>
      <c r="M184" s="111" t="inlineStr">
        <is>
          <t>Y</t>
        </is>
      </c>
    </row>
    <row r="185" ht="22.5" customHeight="1" s="108">
      <c r="A185" s="103" t="inlineStr">
        <is>
          <t>Matheesha Pansilu Wijesekera</t>
        </is>
      </c>
      <c r="B185" s="97" t="inlineStr">
        <is>
          <t>200516301825</t>
        </is>
      </c>
      <c r="C185" s="97" t="n"/>
      <c r="D185" s="97" t="inlineStr">
        <is>
          <t>0775595824</t>
        </is>
      </c>
      <c r="E185" s="98" t="inlineStr">
        <is>
          <t>matheeshapansilu44@gmail.com</t>
        </is>
      </c>
      <c r="F185" s="110">
        <f>COUNTIF(G185:N185,"Y")</f>
        <v/>
      </c>
      <c r="G185" s="101" t="n"/>
      <c r="H185" s="101" t="n"/>
      <c r="I185" s="101" t="n"/>
      <c r="J185" s="101" t="n"/>
      <c r="K185" s="101" t="n"/>
      <c r="L185" s="100" t="inlineStr">
        <is>
          <t>Y</t>
        </is>
      </c>
    </row>
    <row r="186" ht="22.5" customHeight="1" s="108">
      <c r="A186" s="103" t="inlineStr">
        <is>
          <t>Sugumar Sadurshan</t>
        </is>
      </c>
      <c r="B186" s="97" t="inlineStr">
        <is>
          <t>200405210757</t>
        </is>
      </c>
      <c r="C186" s="97" t="inlineStr">
        <is>
          <t>102588026</t>
        </is>
      </c>
      <c r="D186" s="97" t="inlineStr">
        <is>
          <t>0774788857</t>
        </is>
      </c>
      <c r="E186" s="98" t="inlineStr">
        <is>
          <t>sugumarsadurshan@gmail.com</t>
        </is>
      </c>
      <c r="F186" s="110">
        <f>COUNTIF(G186:N186,"Y")</f>
        <v/>
      </c>
      <c r="G186" s="101" t="n"/>
      <c r="H186" s="101" t="n"/>
      <c r="I186" s="101" t="n"/>
      <c r="J186" s="101" t="n"/>
      <c r="K186" s="101" t="n"/>
      <c r="L186" s="100" t="inlineStr">
        <is>
          <t>Y</t>
        </is>
      </c>
      <c r="M186" s="111" t="inlineStr">
        <is>
          <t>Y</t>
        </is>
      </c>
    </row>
    <row r="187" ht="22.5" customHeight="1" s="108">
      <c r="A187" s="103" t="inlineStr">
        <is>
          <t>Danishiyan G.J</t>
        </is>
      </c>
      <c r="B187" s="97" t="inlineStr">
        <is>
          <t>20012102611</t>
        </is>
      </c>
      <c r="C187" s="97" t="n"/>
      <c r="D187" s="97" t="inlineStr">
        <is>
          <t>0740637032</t>
        </is>
      </c>
      <c r="E187" s="98" t="inlineStr">
        <is>
          <t>jeyakumardanishiyan2004@gmail.com</t>
        </is>
      </c>
      <c r="F187" s="110">
        <f>COUNTIF(G187:N187,"Y")</f>
        <v/>
      </c>
      <c r="G187" s="101" t="n"/>
      <c r="H187" s="101" t="n"/>
      <c r="I187" s="101" t="n"/>
      <c r="J187" s="101" t="n"/>
      <c r="K187" s="101" t="n"/>
      <c r="L187" s="100" t="inlineStr">
        <is>
          <t>Y</t>
        </is>
      </c>
    </row>
    <row r="188" ht="22.5" customHeight="1" s="108">
      <c r="A188" s="103" t="inlineStr">
        <is>
          <t>I.D Pasindu Ashen</t>
        </is>
      </c>
      <c r="B188" s="97" t="inlineStr">
        <is>
          <t>200211600020</t>
        </is>
      </c>
      <c r="C188" s="97" t="n"/>
      <c r="D188" s="97" t="inlineStr">
        <is>
          <t>0766400796</t>
        </is>
      </c>
      <c r="E188" s="98" t="inlineStr">
        <is>
          <t>it24610781@my.sliit.lk</t>
        </is>
      </c>
      <c r="F188" s="110">
        <f>COUNTIF(G188:N188,"Y")</f>
        <v/>
      </c>
      <c r="G188" s="101" t="n"/>
      <c r="H188" s="101" t="n"/>
      <c r="I188" s="101" t="n"/>
      <c r="J188" s="101" t="n"/>
      <c r="K188" s="101" t="n"/>
      <c r="L188" s="100" t="inlineStr">
        <is>
          <t>Y</t>
        </is>
      </c>
    </row>
    <row r="189" ht="22.5" customHeight="1" s="108">
      <c r="A189" s="103" t="inlineStr">
        <is>
          <t>Abdullah Alhar</t>
        </is>
      </c>
      <c r="B189" s="97" t="inlineStr">
        <is>
          <t>200507902450</t>
        </is>
      </c>
      <c r="C189" s="97" t="n"/>
      <c r="D189" s="97" t="inlineStr">
        <is>
          <t>0740670876</t>
        </is>
      </c>
      <c r="E189" s="98" t="inlineStr">
        <is>
          <t>abdullahbinalhar@gmail.com</t>
        </is>
      </c>
      <c r="F189" s="110">
        <f>COUNTIF(G189:N189,"Y")</f>
        <v/>
      </c>
      <c r="G189" s="101" t="n"/>
      <c r="H189" s="101" t="n"/>
      <c r="I189" s="101" t="n"/>
      <c r="J189" s="101" t="n"/>
      <c r="K189" s="101" t="n"/>
      <c r="L189" s="100" t="inlineStr">
        <is>
          <t>Y</t>
        </is>
      </c>
    </row>
    <row r="190" ht="22.5" customHeight="1" s="108">
      <c r="A190" s="103" t="inlineStr">
        <is>
          <t>Gauravi Bandara</t>
        </is>
      </c>
      <c r="B190" s="97" t="inlineStr">
        <is>
          <t>200483201823</t>
        </is>
      </c>
      <c r="C190" s="97" t="inlineStr">
        <is>
          <t>102647273</t>
        </is>
      </c>
      <c r="D190" s="97" t="inlineStr">
        <is>
          <t>0717374272</t>
        </is>
      </c>
      <c r="E190" s="98" t="inlineStr">
        <is>
          <t>it24104321@my.sliit.lk</t>
        </is>
      </c>
      <c r="F190" s="110">
        <f>COUNTIF(G190:N190,"Y")</f>
        <v/>
      </c>
      <c r="G190" s="101" t="n"/>
      <c r="H190" s="101" t="n"/>
      <c r="I190" s="101" t="n"/>
      <c r="J190" s="101" t="n"/>
      <c r="K190" s="101" t="n"/>
      <c r="L190" s="100" t="inlineStr">
        <is>
          <t>Y</t>
        </is>
      </c>
      <c r="M190" s="111" t="inlineStr">
        <is>
          <t>Y</t>
        </is>
      </c>
    </row>
    <row r="191" ht="22.5" customHeight="1" s="108">
      <c r="A191" s="103" t="inlineStr">
        <is>
          <t>Inuka Methum</t>
        </is>
      </c>
      <c r="B191" s="97" t="inlineStr">
        <is>
          <t>200504702057</t>
        </is>
      </c>
      <c r="C191" s="97" t="n"/>
      <c r="D191" s="97" t="inlineStr">
        <is>
          <t>0742326086</t>
        </is>
      </c>
      <c r="E191" s="98" t="inlineStr">
        <is>
          <t>inukamethum@gmail.com</t>
        </is>
      </c>
      <c r="F191" s="110">
        <f>COUNTIF(G191:N191,"Y")</f>
        <v/>
      </c>
      <c r="G191" s="101" t="n"/>
      <c r="H191" s="101" t="n"/>
      <c r="I191" s="101" t="n"/>
      <c r="J191" s="101" t="n"/>
      <c r="K191" s="101" t="n"/>
      <c r="L191" s="100" t="inlineStr">
        <is>
          <t>Y</t>
        </is>
      </c>
    </row>
    <row r="192" ht="22.5" customHeight="1" s="108">
      <c r="A192" s="103" t="inlineStr">
        <is>
          <t>Dohan Imanjith</t>
        </is>
      </c>
      <c r="B192" s="97" t="inlineStr">
        <is>
          <t>200531801223</t>
        </is>
      </c>
      <c r="C192" s="97" t="n"/>
      <c r="D192" s="97" t="inlineStr">
        <is>
          <t>0712914818</t>
        </is>
      </c>
      <c r="E192" s="98" t="inlineStr">
        <is>
          <t>dohanimanjith21@gmail.com</t>
        </is>
      </c>
      <c r="F192" s="110">
        <f>COUNTIF(G192:N192,"Y")</f>
        <v/>
      </c>
      <c r="G192" s="101" t="n"/>
      <c r="H192" s="101" t="n"/>
      <c r="I192" s="101" t="n"/>
      <c r="J192" s="101" t="n"/>
      <c r="K192" s="101" t="n"/>
      <c r="L192" s="100" t="inlineStr">
        <is>
          <t>Y</t>
        </is>
      </c>
    </row>
    <row r="193" ht="22.5" customHeight="1" s="108">
      <c r="A193" s="103" t="inlineStr">
        <is>
          <t>Buddhima Sandaru</t>
        </is>
      </c>
      <c r="B193" s="97" t="inlineStr">
        <is>
          <t>20040211282</t>
        </is>
      </c>
      <c r="C193" s="97" t="n"/>
      <c r="D193" s="97" t="inlineStr">
        <is>
          <t>0768575359</t>
        </is>
      </c>
      <c r="E193" s="98" t="inlineStr">
        <is>
          <t>buddhimasandaru@gmail.com</t>
        </is>
      </c>
      <c r="F193" s="110">
        <f>COUNTIF(G193:N193,"Y")</f>
        <v/>
      </c>
      <c r="G193" s="101" t="n"/>
      <c r="H193" s="101" t="n"/>
      <c r="I193" s="101" t="n"/>
      <c r="J193" s="101" t="n"/>
      <c r="K193" s="101" t="n"/>
      <c r="L193" s="100" t="inlineStr">
        <is>
          <t>Y</t>
        </is>
      </c>
    </row>
    <row r="194" ht="22.5" customHeight="1" s="108">
      <c r="A194" s="103" t="inlineStr">
        <is>
          <t>G.K.Sedara Ransiluni</t>
        </is>
      </c>
      <c r="B194" s="97" t="inlineStr">
        <is>
          <t>200471200476</t>
        </is>
      </c>
      <c r="C194" s="97" t="n"/>
      <c r="D194" s="97" t="inlineStr">
        <is>
          <t>0702595383</t>
        </is>
      </c>
      <c r="E194" s="98" t="inlineStr">
        <is>
          <t>sedararansiluni01@gmail.com</t>
        </is>
      </c>
      <c r="F194" s="110">
        <f>COUNTIF(G194:N194,"Y")</f>
        <v/>
      </c>
      <c r="G194" s="101" t="n"/>
      <c r="H194" s="101" t="n"/>
      <c r="I194" s="101" t="n"/>
      <c r="J194" s="101" t="n"/>
      <c r="K194" s="101" t="n"/>
      <c r="L194" s="100" t="inlineStr">
        <is>
          <t>Y</t>
        </is>
      </c>
    </row>
    <row r="195" ht="22.5" customHeight="1" s="108">
      <c r="A195" s="103" t="inlineStr">
        <is>
          <t>Amashi Jayawardhana</t>
        </is>
      </c>
      <c r="B195" s="97" t="inlineStr">
        <is>
          <t>200367811759</t>
        </is>
      </c>
      <c r="C195" s="97" t="n"/>
      <c r="D195" s="97" t="inlineStr">
        <is>
          <t>0774869219</t>
        </is>
      </c>
      <c r="E195" s="98" t="inlineStr">
        <is>
          <t>amashithathsarani025@gmail.com</t>
        </is>
      </c>
      <c r="F195" s="110">
        <f>COUNTIF(G195:N195,"Y")</f>
        <v/>
      </c>
      <c r="G195" s="101" t="n"/>
      <c r="H195" s="101" t="n"/>
      <c r="I195" s="101" t="n"/>
      <c r="J195" s="101" t="n"/>
      <c r="K195" s="101" t="n"/>
      <c r="L195" s="100" t="inlineStr">
        <is>
          <t>Y</t>
        </is>
      </c>
    </row>
    <row r="196" ht="22.5" customHeight="1" s="108">
      <c r="A196" s="103" t="inlineStr">
        <is>
          <t>Komuthu Perera</t>
        </is>
      </c>
      <c r="B196" s="97" t="inlineStr">
        <is>
          <t>200462601300</t>
        </is>
      </c>
      <c r="C196" s="97" t="n"/>
      <c r="D196" s="97" t="inlineStr">
        <is>
          <t>0743914482</t>
        </is>
      </c>
      <c r="E196" s="98" t="inlineStr">
        <is>
          <t>en25300563@my.sliit.lk</t>
        </is>
      </c>
      <c r="F196" s="110">
        <f>COUNTIF(G196:N196,"Y")</f>
        <v/>
      </c>
      <c r="G196" s="101" t="n"/>
      <c r="H196" s="101" t="n"/>
      <c r="I196" s="101" t="n"/>
      <c r="J196" s="101" t="n"/>
      <c r="K196" s="101" t="n"/>
      <c r="L196" s="100" t="inlineStr">
        <is>
          <t>Y</t>
        </is>
      </c>
    </row>
    <row r="197" ht="22.5" customHeight="1" s="108">
      <c r="A197" s="103" t="inlineStr">
        <is>
          <t>Vishaka Rajapaksha</t>
        </is>
      </c>
      <c r="B197" s="97" t="inlineStr">
        <is>
          <t>200579900428</t>
        </is>
      </c>
      <c r="C197" s="97" t="n"/>
      <c r="D197" s="97" t="inlineStr">
        <is>
          <t>0743609962</t>
        </is>
      </c>
      <c r="E197" s="98" t="inlineStr">
        <is>
          <t>vishakarajapaksha97@gmail.com</t>
        </is>
      </c>
      <c r="F197" s="110">
        <f>COUNTIF(G197:N197,"Y")</f>
        <v/>
      </c>
      <c r="G197" s="101" t="n"/>
      <c r="H197" s="101" t="n"/>
      <c r="I197" s="101" t="n"/>
      <c r="J197" s="101" t="n"/>
      <c r="K197" s="101" t="n"/>
      <c r="L197" s="100" t="inlineStr">
        <is>
          <t>Y</t>
        </is>
      </c>
    </row>
    <row r="198" ht="22.5" customHeight="1" s="108">
      <c r="A198" s="103" t="inlineStr">
        <is>
          <t>Isuru Udana Pinthu</t>
        </is>
      </c>
      <c r="B198" s="97" t="inlineStr">
        <is>
          <t>200311401180</t>
        </is>
      </c>
      <c r="C198" s="97" t="n"/>
      <c r="D198" s="97" t="inlineStr">
        <is>
          <t>0705339022</t>
        </is>
      </c>
      <c r="E198" s="98" t="inlineStr">
        <is>
          <t>isuruudanapinthu@gmail.com</t>
        </is>
      </c>
      <c r="F198" s="110">
        <f>COUNTIF(G198:N198,"Y")</f>
        <v/>
      </c>
      <c r="G198" s="101" t="n"/>
      <c r="H198" s="101" t="n"/>
      <c r="I198" s="101" t="n"/>
      <c r="J198" s="101" t="n"/>
      <c r="K198" s="101" t="n"/>
      <c r="L198" s="100" t="inlineStr">
        <is>
          <t>Y</t>
        </is>
      </c>
    </row>
    <row r="199" ht="22.5" customHeight="1" s="108">
      <c r="A199" s="103" t="inlineStr">
        <is>
          <t>Anantharuban Ashvithan</t>
        </is>
      </c>
      <c r="B199" s="97" t="inlineStr">
        <is>
          <t>200420901109</t>
        </is>
      </c>
      <c r="C199" s="97" t="n"/>
      <c r="D199" s="97" t="inlineStr">
        <is>
          <t>0767611627</t>
        </is>
      </c>
      <c r="E199" s="98" t="inlineStr">
        <is>
          <t>ashvithan9@gmail.com</t>
        </is>
      </c>
      <c r="F199" s="110">
        <f>COUNTIF(G199:N199,"Y")</f>
        <v/>
      </c>
      <c r="G199" s="101" t="n"/>
      <c r="H199" s="101" t="n"/>
      <c r="I199" s="101" t="n"/>
      <c r="J199" s="101" t="n"/>
      <c r="K199" s="101" t="n"/>
      <c r="L199" s="100" t="inlineStr">
        <is>
          <t>Y</t>
        </is>
      </c>
    </row>
    <row r="200" ht="22.5" customHeight="1" s="108">
      <c r="A200" s="103" t="inlineStr">
        <is>
          <t>Umesan Sathananthan</t>
        </is>
      </c>
      <c r="B200" s="97" t="inlineStr">
        <is>
          <t>200302600134</t>
        </is>
      </c>
      <c r="C200" s="97" t="n"/>
      <c r="D200" s="97" t="inlineStr">
        <is>
          <t>0770575637</t>
        </is>
      </c>
      <c r="E200" s="98" t="inlineStr">
        <is>
          <t>it24100781@my.sliit.lk</t>
        </is>
      </c>
      <c r="F200" s="110">
        <f>COUNTIF(G200:N200,"Y")</f>
        <v/>
      </c>
      <c r="G200" s="101" t="n"/>
      <c r="H200" s="101" t="n"/>
      <c r="I200" s="101" t="n"/>
      <c r="J200" s="101" t="n"/>
      <c r="K200" s="101" t="n"/>
      <c r="L200" s="100" t="inlineStr">
        <is>
          <t>Y</t>
        </is>
      </c>
    </row>
    <row r="201" ht="22.5" customHeight="1" s="108">
      <c r="A201" s="103" t="inlineStr">
        <is>
          <t>Archayan Mahendran</t>
        </is>
      </c>
      <c r="B201" s="97" t="inlineStr">
        <is>
          <t>200501700506</t>
        </is>
      </c>
      <c r="C201" s="97" t="n"/>
      <c r="D201" s="97" t="inlineStr">
        <is>
          <t>0772465594</t>
        </is>
      </c>
      <c r="E201" s="98" t="inlineStr">
        <is>
          <t>archayanmahendran@gmail.com</t>
        </is>
      </c>
      <c r="F201" s="110">
        <f>COUNTIF(G201:N201,"Y")</f>
        <v/>
      </c>
      <c r="G201" s="101" t="n"/>
      <c r="H201" s="101" t="n"/>
      <c r="I201" s="101" t="n"/>
      <c r="J201" s="101" t="n"/>
      <c r="K201" s="101" t="n"/>
      <c r="L201" s="100" t="inlineStr">
        <is>
          <t>Y</t>
        </is>
      </c>
    </row>
    <row r="202" ht="22.5" customHeight="1" s="108">
      <c r="A202" s="103" t="inlineStr">
        <is>
          <t>RAHUMATHULLA MOHAMED AHSAN</t>
        </is>
      </c>
      <c r="B202" s="97" t="inlineStr">
        <is>
          <t>200232600960</t>
        </is>
      </c>
      <c r="C202" s="97" t="n"/>
      <c r="D202" s="97" t="inlineStr">
        <is>
          <t>0761335018</t>
        </is>
      </c>
      <c r="E202" s="98" t="inlineStr">
        <is>
          <t>ahzanahzan257@gmail.com</t>
        </is>
      </c>
      <c r="F202" s="110">
        <f>COUNTIF(G202:N202,"Y")</f>
        <v/>
      </c>
      <c r="G202" s="101" t="n"/>
      <c r="H202" s="101" t="n"/>
      <c r="I202" s="101" t="n"/>
      <c r="J202" s="101" t="n"/>
      <c r="K202" s="101" t="n"/>
      <c r="L202" s="100" t="inlineStr">
        <is>
          <t>Y</t>
        </is>
      </c>
    </row>
    <row r="203" ht="22.5" customHeight="1" s="108">
      <c r="A203" s="103" t="inlineStr">
        <is>
          <t>Mahendran Abilash</t>
        </is>
      </c>
      <c r="B203" s="97" t="inlineStr">
        <is>
          <t>200601003998</t>
        </is>
      </c>
      <c r="C203" s="97" t="n"/>
      <c r="D203" s="97" t="inlineStr">
        <is>
          <t>0740804159</t>
        </is>
      </c>
      <c r="E203" s="98" t="inlineStr">
        <is>
          <t>m.abilash2006@gmail.com</t>
        </is>
      </c>
      <c r="F203" s="110">
        <f>COUNTIF(G203:N203,"Y")</f>
        <v/>
      </c>
      <c r="G203" s="101" t="n"/>
      <c r="H203" s="101" t="n"/>
      <c r="I203" s="101" t="n"/>
      <c r="J203" s="101" t="n"/>
      <c r="K203" s="101" t="n"/>
      <c r="L203" s="100" t="inlineStr">
        <is>
          <t>Y</t>
        </is>
      </c>
    </row>
    <row r="204" ht="22.5" customHeight="1" s="108">
      <c r="A204" s="103" t="inlineStr">
        <is>
          <t>Gavesh Bimsara</t>
        </is>
      </c>
      <c r="B204" s="97" t="inlineStr">
        <is>
          <t>200220501828</t>
        </is>
      </c>
      <c r="C204" s="97" t="n"/>
      <c r="D204" s="97" t="inlineStr">
        <is>
          <t>0778955252</t>
        </is>
      </c>
      <c r="E204" s="98" t="inlineStr">
        <is>
          <t>gaveshbimsara2002@gmail.com</t>
        </is>
      </c>
      <c r="F204" s="110">
        <f>COUNTIF(G204:N204,"Y")</f>
        <v/>
      </c>
      <c r="G204" s="101" t="n"/>
      <c r="H204" s="101" t="n"/>
      <c r="I204" s="101" t="n"/>
      <c r="J204" s="101" t="n"/>
      <c r="K204" s="101" t="n"/>
      <c r="L204" s="100" t="inlineStr">
        <is>
          <t>Y</t>
        </is>
      </c>
    </row>
    <row r="205" ht="22.5" customHeight="1" s="108">
      <c r="A205" s="103" t="inlineStr">
        <is>
          <t>Amaya Rajapaksha</t>
        </is>
      </c>
      <c r="B205" s="97" t="inlineStr">
        <is>
          <t>200376011738</t>
        </is>
      </c>
      <c r="C205" s="97" t="n"/>
      <c r="D205" s="97" t="inlineStr">
        <is>
          <t>0702051708</t>
        </is>
      </c>
      <c r="E205" s="98" t="inlineStr">
        <is>
          <t>amayarajapaksha001@gmail.com</t>
        </is>
      </c>
      <c r="F205" s="110">
        <f>COUNTIF(G205:N205,"Y")</f>
        <v/>
      </c>
      <c r="G205" s="101" t="n"/>
      <c r="H205" s="101" t="n"/>
      <c r="I205" s="101" t="n"/>
      <c r="J205" s="101" t="n"/>
      <c r="K205" s="101" t="n"/>
      <c r="L205" s="100" t="inlineStr">
        <is>
          <t>Y</t>
        </is>
      </c>
    </row>
    <row r="206" ht="22.5" customHeight="1" s="108">
      <c r="A206" s="103" t="inlineStr">
        <is>
          <t>Swetha Bandara</t>
        </is>
      </c>
      <c r="B206" s="97" t="inlineStr">
        <is>
          <t>200410013152</t>
        </is>
      </c>
      <c r="C206" s="97" t="inlineStr">
        <is>
          <t>102647216</t>
        </is>
      </c>
      <c r="D206" s="97" t="inlineStr">
        <is>
          <t>0718977464</t>
        </is>
      </c>
      <c r="E206" s="98" t="inlineStr">
        <is>
          <t>swethabandara77@gmail.com</t>
        </is>
      </c>
      <c r="F206" s="110">
        <f>COUNTIF(G206:N206,"Y")</f>
        <v/>
      </c>
      <c r="G206" s="101" t="n"/>
      <c r="H206" s="101" t="n"/>
      <c r="I206" s="101" t="n"/>
      <c r="J206" s="101" t="n"/>
      <c r="K206" s="101" t="n"/>
      <c r="L206" s="100" t="inlineStr">
        <is>
          <t>Y</t>
        </is>
      </c>
      <c r="M206" s="111" t="inlineStr">
        <is>
          <t>Y</t>
        </is>
      </c>
    </row>
    <row r="207">
      <c r="A207" s="112" t="inlineStr">
        <is>
          <t>G.M.Deepthi Chathulya Karunarathna</t>
        </is>
      </c>
      <c r="B207" s="112" t="inlineStr">
        <is>
          <t>200384710130</t>
        </is>
      </c>
      <c r="C207" s="112" t="inlineStr">
        <is>
          <t>102646626</t>
        </is>
      </c>
      <c r="D207" s="112" t="inlineStr">
        <is>
          <t>0701953276</t>
        </is>
      </c>
      <c r="E207" s="112" t="inlineStr">
        <is>
          <t>deepthichathulya747@gmail.com</t>
        </is>
      </c>
      <c r="F207" s="112">
        <f>COUNTIF(G207:N207,"Y")</f>
        <v/>
      </c>
      <c r="M207" s="111" t="inlineStr">
        <is>
          <t>Y</t>
        </is>
      </c>
    </row>
    <row r="208">
      <c r="A208" s="112" t="inlineStr">
        <is>
          <t>Fasha Fahim</t>
        </is>
      </c>
      <c r="B208" s="112" t="inlineStr">
        <is>
          <t>200382513490</t>
        </is>
      </c>
      <c r="C208" s="112" t="inlineStr">
        <is>
          <t>102603218</t>
        </is>
      </c>
      <c r="D208" s="112" t="inlineStr">
        <is>
          <t>+94740430804</t>
        </is>
      </c>
      <c r="E208" s="112" t="inlineStr">
        <is>
          <t>fasha2225@gmail.com</t>
        </is>
      </c>
      <c r="F208" s="112">
        <f>COUNTIF(G208:N208,"Y")</f>
        <v/>
      </c>
      <c r="M208" s="111" t="inlineStr">
        <is>
          <t>Y</t>
        </is>
      </c>
    </row>
    <row r="209">
      <c r="A209" s="112" t="inlineStr">
        <is>
          <t>Kusal Senavirathne</t>
        </is>
      </c>
      <c r="B209" s="112" t="inlineStr">
        <is>
          <t>200133800894</t>
        </is>
      </c>
      <c r="C209" s="112" t="n"/>
      <c r="D209" s="112" t="n"/>
      <c r="E209" s="112" t="n"/>
      <c r="F209" s="112">
        <f>COUNTIF(G209:N209,"Y")</f>
        <v/>
      </c>
      <c r="M209" s="111" t="inlineStr">
        <is>
          <t>Y</t>
        </is>
      </c>
    </row>
    <row r="210">
      <c r="A210" s="112" t="inlineStr">
        <is>
          <t>Nuwandi Ferdinand</t>
        </is>
      </c>
      <c r="B210" s="112" t="inlineStr">
        <is>
          <t>200757004688</t>
        </is>
      </c>
      <c r="C210" s="112" t="inlineStr">
        <is>
          <t>102603307</t>
        </is>
      </c>
      <c r="D210" s="112" t="inlineStr">
        <is>
          <t>0723301161</t>
        </is>
      </c>
      <c r="E210" s="112" t="inlineStr">
        <is>
          <t>rasinthikanirmali@gmail.com</t>
        </is>
      </c>
      <c r="F210" s="112">
        <f>COUNTIF(G210:N210,"Y")</f>
        <v/>
      </c>
      <c r="M210" s="111" t="inlineStr">
        <is>
          <t>Y</t>
        </is>
      </c>
    </row>
    <row r="211">
      <c r="A211" s="112" t="inlineStr">
        <is>
          <t>Linal De Zoysa</t>
        </is>
      </c>
      <c r="B211" s="112" t="inlineStr">
        <is>
          <t>200329613330</t>
        </is>
      </c>
      <c r="C211" s="112" t="n"/>
      <c r="D211" s="112" t="n"/>
      <c r="E211" s="112" t="n"/>
      <c r="F211" s="112">
        <f>COUNTIF(G211:N211,"Y")</f>
        <v/>
      </c>
      <c r="M211" s="111" t="inlineStr">
        <is>
          <t>Y</t>
        </is>
      </c>
    </row>
    <row r="212">
      <c r="A212" s="112" t="inlineStr">
        <is>
          <t>Himasari M.M.P .W</t>
        </is>
      </c>
      <c r="B212" s="112" t="inlineStr">
        <is>
          <t>200481302184</t>
        </is>
      </c>
      <c r="C212" s="112" t="inlineStr">
        <is>
          <t>102566930</t>
        </is>
      </c>
      <c r="D212" s="112" t="inlineStr">
        <is>
          <t>0715947496</t>
        </is>
      </c>
      <c r="E212" s="112" t="inlineStr">
        <is>
          <t>vimansahimasari@gmail.com</t>
        </is>
      </c>
      <c r="F212" s="112">
        <f>COUNTIF(G212:N212,"Y")</f>
        <v/>
      </c>
      <c r="M212" s="111" t="inlineStr">
        <is>
          <t>Y</t>
        </is>
      </c>
    </row>
    <row r="213">
      <c r="A213" s="112" t="inlineStr">
        <is>
          <t>Kavindu Yatawara</t>
        </is>
      </c>
      <c r="B213" s="112" t="inlineStr">
        <is>
          <t>200219102510</t>
        </is>
      </c>
      <c r="C213" s="112" t="n"/>
      <c r="D213" s="112" t="inlineStr">
        <is>
          <t>0766442348</t>
        </is>
      </c>
      <c r="E213" s="112" t="inlineStr">
        <is>
          <t>kav02th@gmail.con</t>
        </is>
      </c>
      <c r="F213" s="112">
        <f>COUNTIF(G213:N213,"Y")</f>
        <v/>
      </c>
      <c r="M213" s="111" t="inlineStr">
        <is>
          <t>Y</t>
        </is>
      </c>
    </row>
    <row r="214">
      <c r="A214" s="112" t="inlineStr">
        <is>
          <t>Nevindu Gangabada</t>
        </is>
      </c>
      <c r="B214" s="112" t="inlineStr">
        <is>
          <t>200518203341</t>
        </is>
      </c>
      <c r="C214" s="112" t="n"/>
      <c r="D214" s="112" t="inlineStr">
        <is>
          <t>0771183164</t>
        </is>
      </c>
      <c r="E214" s="112" t="inlineStr">
        <is>
          <t>nevindusamal@gmail.com</t>
        </is>
      </c>
      <c r="F214" s="112">
        <f>COUNTIF(G214:N214,"Y")</f>
        <v/>
      </c>
      <c r="M214" s="111" t="inlineStr">
        <is>
          <t>Y</t>
        </is>
      </c>
    </row>
    <row r="215">
      <c r="A215" s="112" t="inlineStr">
        <is>
          <t>Sachini Kapurubandara</t>
        </is>
      </c>
      <c r="B215" s="112" t="inlineStr">
        <is>
          <t>200260100611</t>
        </is>
      </c>
      <c r="C215" s="112" t="inlineStr">
        <is>
          <t>102638259</t>
        </is>
      </c>
      <c r="D215" s="112" t="inlineStr">
        <is>
          <t>0706738975</t>
        </is>
      </c>
      <c r="E215" s="112" t="inlineStr">
        <is>
          <t>sachkapuru02@gmail.com</t>
        </is>
      </c>
      <c r="F215" s="112">
        <f>COUNTIF(G215:N215,"Y")</f>
        <v/>
      </c>
      <c r="M215" s="111" t="inlineStr">
        <is>
          <t>Y</t>
        </is>
      </c>
    </row>
    <row r="216">
      <c r="A216" s="112" t="inlineStr">
        <is>
          <t>Shehara Jayathissa</t>
        </is>
      </c>
      <c r="B216" s="112" t="inlineStr">
        <is>
          <t>200157503558</t>
        </is>
      </c>
      <c r="C216" s="112" t="inlineStr">
        <is>
          <t>102566966</t>
        </is>
      </c>
      <c r="D216" s="112" t="inlineStr">
        <is>
          <t>0701942055</t>
        </is>
      </c>
      <c r="E216" s="112" t="inlineStr">
        <is>
          <t>sheharajayathissa315@gmail.com</t>
        </is>
      </c>
      <c r="F216" s="112">
        <f>COUNTIF(G216:N216,"Y")</f>
        <v/>
      </c>
      <c r="M216" s="111" t="inlineStr">
        <is>
          <t>Y</t>
        </is>
      </c>
    </row>
    <row r="217">
      <c r="A217" s="112" t="inlineStr">
        <is>
          <t>Rushain Fernando</t>
        </is>
      </c>
      <c r="B217" s="112" t="inlineStr">
        <is>
          <t>200217102200</t>
        </is>
      </c>
      <c r="C217" s="112" t="n"/>
      <c r="D217" s="112" t="inlineStr">
        <is>
          <t>0702883223</t>
        </is>
      </c>
      <c r="E217" s="112" t="inlineStr">
        <is>
          <t>en23369542@my.sliit.lk</t>
        </is>
      </c>
      <c r="F217" s="112">
        <f>COUNTIF(G217:N217,"Y")</f>
        <v/>
      </c>
      <c r="M217" s="111" t="inlineStr">
        <is>
          <t>Y</t>
        </is>
      </c>
    </row>
    <row r="218">
      <c r="A218" s="112" t="inlineStr">
        <is>
          <t>P .B Sadeep Sasanka</t>
        </is>
      </c>
      <c r="B218" s="112" t="inlineStr">
        <is>
          <t>200406801049</t>
        </is>
      </c>
      <c r="C218" s="112" t="inlineStr">
        <is>
          <t>102427711</t>
        </is>
      </c>
      <c r="D218" s="112" t="inlineStr">
        <is>
          <t>0705922792</t>
        </is>
      </c>
      <c r="E218" s="112" t="inlineStr">
        <is>
          <t>sasankasadeep78@gmail.com</t>
        </is>
      </c>
      <c r="F218" s="112">
        <f>COUNTIF(G218:N218,"Y")</f>
        <v/>
      </c>
      <c r="M218" s="111" t="inlineStr">
        <is>
          <t>Y</t>
        </is>
      </c>
    </row>
    <row r="219">
      <c r="A219" s="112" t="inlineStr">
        <is>
          <t>KITHUSHAN MANIVANNAN</t>
        </is>
      </c>
      <c r="B219" s="112" t="inlineStr">
        <is>
          <t>200427901992</t>
        </is>
      </c>
      <c r="C219" s="112" t="inlineStr">
        <is>
          <t>102586893</t>
        </is>
      </c>
      <c r="D219" s="112" t="inlineStr">
        <is>
          <t>0768420135</t>
        </is>
      </c>
      <c r="E219" s="112" t="inlineStr">
        <is>
          <t>kithushan02@gmail.com</t>
        </is>
      </c>
      <c r="F219" s="112">
        <f>COUNTIF(G219:N219,"Y")</f>
        <v/>
      </c>
      <c r="M219" s="111" t="inlineStr">
        <is>
          <t>Y</t>
        </is>
      </c>
    </row>
    <row r="220">
      <c r="A220" s="112" t="inlineStr">
        <is>
          <t>Sithum Sathsara</t>
        </is>
      </c>
      <c r="B220" s="112" t="inlineStr">
        <is>
          <t>200314810564</t>
        </is>
      </c>
      <c r="C220" s="112" t="inlineStr">
        <is>
          <t>101099311</t>
        </is>
      </c>
      <c r="D220" s="112" t="inlineStr">
        <is>
          <t>0765774721</t>
        </is>
      </c>
      <c r="E220" s="112" t="inlineStr">
        <is>
          <t>sithumsathsara111@gmail.com</t>
        </is>
      </c>
      <c r="F220" s="112">
        <f>COUNTIF(G220:N220,"Y")</f>
        <v/>
      </c>
      <c r="M220" s="111" t="inlineStr">
        <is>
          <t>Y</t>
        </is>
      </c>
    </row>
    <row r="221">
      <c r="A221" s="112" t="inlineStr">
        <is>
          <t>Deegoda Gamage Ishan Sandaruwan</t>
        </is>
      </c>
      <c r="B221" s="112" t="inlineStr">
        <is>
          <t>200304000629</t>
        </is>
      </c>
      <c r="C221" s="112" t="inlineStr">
        <is>
          <t>102647107</t>
        </is>
      </c>
      <c r="D221" s="112" t="inlineStr">
        <is>
          <t>0778648477</t>
        </is>
      </c>
      <c r="E221" s="112" t="inlineStr">
        <is>
          <t>ishansandaruwan329@gmail.com</t>
        </is>
      </c>
      <c r="F221" s="112">
        <f>COUNTIF(G221:N221,"Y")</f>
        <v/>
      </c>
      <c r="M221" s="111" t="inlineStr">
        <is>
          <t>Y</t>
        </is>
      </c>
    </row>
    <row r="222">
      <c r="A222" s="112" t="inlineStr">
        <is>
          <t>Sheneli Perera</t>
        </is>
      </c>
      <c r="B222" s="112" t="inlineStr">
        <is>
          <t>200650104616</t>
        </is>
      </c>
      <c r="C222" s="112" t="inlineStr">
        <is>
          <t>102209439</t>
        </is>
      </c>
      <c r="D222" s="112" t="inlineStr">
        <is>
          <t>0777137795</t>
        </is>
      </c>
      <c r="E222" s="112" t="inlineStr">
        <is>
          <t>en23467866@my.sliit.lk</t>
        </is>
      </c>
      <c r="F222" s="112">
        <f>COUNTIF(G222:N222,"Y")</f>
        <v/>
      </c>
      <c r="M222" s="111" t="inlineStr">
        <is>
          <t>Y</t>
        </is>
      </c>
    </row>
    <row r="223">
      <c r="A223" s="112" t="inlineStr">
        <is>
          <t>Sihan Udayarathna</t>
        </is>
      </c>
      <c r="B223" s="112" t="inlineStr">
        <is>
          <t>200325400681</t>
        </is>
      </c>
      <c r="C223" s="112" t="inlineStr">
        <is>
          <t>100922137</t>
        </is>
      </c>
      <c r="D223" s="112" t="inlineStr">
        <is>
          <t>0776765582</t>
        </is>
      </c>
      <c r="E223" s="112" t="inlineStr">
        <is>
          <t>sihanudayaratna92@gmail.com</t>
        </is>
      </c>
      <c r="F223" s="112">
        <f>COUNTIF(G223:N223,"Y")</f>
        <v/>
      </c>
      <c r="M223" s="111" t="inlineStr">
        <is>
          <t>Y</t>
        </is>
      </c>
    </row>
    <row r="224">
      <c r="A224" s="112" t="inlineStr">
        <is>
          <t>R.A.D.H.M Weerakon</t>
        </is>
      </c>
      <c r="B224" s="112" t="inlineStr">
        <is>
          <t>200426604281</t>
        </is>
      </c>
      <c r="C224" s="112" t="n"/>
      <c r="D224" s="112" t="inlineStr">
        <is>
          <t>+94716346815</t>
        </is>
      </c>
      <c r="E224" s="112" t="inlineStr">
        <is>
          <t>it24610788@my.sliit.lk</t>
        </is>
      </c>
      <c r="F224" s="112">
        <f>COUNTIF(G224:N224,"Y")</f>
        <v/>
      </c>
      <c r="M224" s="111" t="inlineStr">
        <is>
          <t>Y</t>
        </is>
      </c>
    </row>
    <row r="225">
      <c r="A225" s="112" t="inlineStr">
        <is>
          <t>R.D Weeramanthri</t>
        </is>
      </c>
      <c r="B225" s="112" t="inlineStr">
        <is>
          <t>200334910516</t>
        </is>
      </c>
      <c r="C225" s="112" t="n"/>
      <c r="D225" s="112" t="inlineStr">
        <is>
          <t>0714839752</t>
        </is>
      </c>
      <c r="E225" s="112" t="inlineStr">
        <is>
          <t>rickw6305@gmail.com</t>
        </is>
      </c>
      <c r="F225" s="112">
        <f>COUNTIF(G225:N225,"Y")</f>
        <v/>
      </c>
      <c r="M225" s="111" t="inlineStr">
        <is>
          <t>Y</t>
        </is>
      </c>
    </row>
    <row r="226">
      <c r="A226" s="112" t="inlineStr">
        <is>
          <t>T.R Lanka Paranawitane</t>
        </is>
      </c>
      <c r="B226" s="112" t="inlineStr">
        <is>
          <t>200328000934</t>
        </is>
      </c>
      <c r="C226" s="112" t="n"/>
      <c r="D226" s="112" t="inlineStr">
        <is>
          <t>0715813262</t>
        </is>
      </c>
      <c r="E226" s="112" t="inlineStr">
        <is>
          <t>en23696242@my.sliit.lk</t>
        </is>
      </c>
      <c r="F226" s="112">
        <f>COUNTIF(G226:N226,"Y")</f>
        <v/>
      </c>
      <c r="M226" s="111" t="inlineStr">
        <is>
          <t>Y</t>
        </is>
      </c>
    </row>
    <row r="227">
      <c r="A227" s="112" t="inlineStr">
        <is>
          <t>Kulindu Balasooriya</t>
        </is>
      </c>
      <c r="B227" s="112" t="inlineStr">
        <is>
          <t>200323600802</t>
        </is>
      </c>
      <c r="C227" s="112" t="n"/>
      <c r="D227" s="112" t="inlineStr">
        <is>
          <t>0771980872</t>
        </is>
      </c>
      <c r="E227" s="112" t="inlineStr">
        <is>
          <t>kulindubala@gmail.com</t>
        </is>
      </c>
      <c r="F227" s="112">
        <f>COUNTIF(G227:N227,"Y")</f>
        <v/>
      </c>
      <c r="M227" s="111" t="inlineStr">
        <is>
          <t>Y</t>
        </is>
      </c>
    </row>
    <row r="228">
      <c r="A228" s="112" t="inlineStr">
        <is>
          <t>Kaveen Hettiarachchi</t>
        </is>
      </c>
      <c r="B228" s="112" t="inlineStr">
        <is>
          <t>200329000564</t>
        </is>
      </c>
      <c r="C228" s="112" t="n"/>
      <c r="D228" s="112" t="inlineStr">
        <is>
          <t>0786645983</t>
        </is>
      </c>
      <c r="E228" s="112" t="inlineStr">
        <is>
          <t>kaveenhettiarachchi@gmail.com</t>
        </is>
      </c>
      <c r="F228" s="112">
        <f>COUNTIF(G228:N228,"Y")</f>
        <v/>
      </c>
      <c r="M228" s="111" t="inlineStr">
        <is>
          <t>Y</t>
        </is>
      </c>
    </row>
    <row r="229">
      <c r="A229" s="112" t="inlineStr">
        <is>
          <t>Binuk Peiris</t>
        </is>
      </c>
      <c r="B229" s="112" t="inlineStr">
        <is>
          <t>200230400510</t>
        </is>
      </c>
      <c r="C229" s="112" t="n"/>
      <c r="D229" s="112" t="inlineStr">
        <is>
          <t>0762938117</t>
        </is>
      </c>
      <c r="E229" s="112" t="inlineStr">
        <is>
          <t>binukyehansa1030@gmail.com</t>
        </is>
      </c>
      <c r="F229" s="112">
        <f>COUNTIF(G229:N229,"Y")</f>
        <v/>
      </c>
      <c r="M229" s="111" t="inlineStr">
        <is>
          <t>Y</t>
        </is>
      </c>
    </row>
    <row r="230">
      <c r="A230" s="112" t="inlineStr">
        <is>
          <t>Dilmi Chamya Nadakanda</t>
        </is>
      </c>
      <c r="B230" s="112" t="inlineStr">
        <is>
          <t>200259903131</t>
        </is>
      </c>
      <c r="C230" s="112" t="n"/>
      <c r="D230" s="112" t="inlineStr">
        <is>
          <t>0741663031</t>
        </is>
      </c>
      <c r="E230" s="112" t="inlineStr">
        <is>
          <t>dilmichamya48@gmail.com</t>
        </is>
      </c>
      <c r="F230" s="112">
        <f>COUNTIF(G230:N230,"Y")</f>
        <v/>
      </c>
      <c r="N230" s="111" t="inlineStr">
        <is>
          <t>Y</t>
        </is>
      </c>
    </row>
    <row r="231">
      <c r="A231" s="112" t="inlineStr">
        <is>
          <t>Arindu Semal Amarajeewa</t>
        </is>
      </c>
      <c r="B231" s="112" t="inlineStr">
        <is>
          <t>200206801964</t>
        </is>
      </c>
      <c r="C231" s="112" t="n"/>
      <c r="D231" s="112" t="inlineStr">
        <is>
          <t>0721007572</t>
        </is>
      </c>
      <c r="E231" s="112" t="inlineStr">
        <is>
          <t>amarajeewa355@gmail.com</t>
        </is>
      </c>
      <c r="F231" s="112">
        <f>COUNTIF(G231:N231,"Y")</f>
        <v/>
      </c>
      <c r="N231" s="111" t="inlineStr">
        <is>
          <t>Y</t>
        </is>
      </c>
    </row>
    <row r="232">
      <c r="A232" s="112" t="inlineStr">
        <is>
          <t>Himandi Dinithima Weerasekara</t>
        </is>
      </c>
      <c r="B232" s="112" t="inlineStr">
        <is>
          <t>200278602344</t>
        </is>
      </c>
      <c r="C232" s="112" t="n"/>
      <c r="D232" s="112" t="inlineStr">
        <is>
          <t>0704543861</t>
        </is>
      </c>
      <c r="E232" s="112" t="inlineStr">
        <is>
          <t>himandiweerasekara2002@gmail.com</t>
        </is>
      </c>
      <c r="F232" s="112">
        <f>COUNTIF(G232:N232,"Y")</f>
        <v/>
      </c>
      <c r="N232" s="111" t="inlineStr">
        <is>
          <t>Y</t>
        </is>
      </c>
    </row>
    <row r="233">
      <c r="A233" s="112" t="inlineStr">
        <is>
          <t>Lakni Ranepura</t>
        </is>
      </c>
      <c r="B233" s="112" t="inlineStr">
        <is>
          <t>200161400266</t>
        </is>
      </c>
      <c r="C233" s="112" t="n"/>
      <c r="D233" s="112" t="inlineStr">
        <is>
          <t>0766939924</t>
        </is>
      </c>
      <c r="E233" s="112" t="inlineStr">
        <is>
          <t>it23772922@my.sliit.lk</t>
        </is>
      </c>
      <c r="F233" s="112">
        <f>COUNTIF(G233:N233,"Y")</f>
        <v/>
      </c>
      <c r="N233" s="111" t="inlineStr">
        <is>
          <t>Y</t>
        </is>
      </c>
    </row>
    <row r="234">
      <c r="A234" s="112" t="inlineStr">
        <is>
          <t>Malith Samarakoon</t>
        </is>
      </c>
      <c r="B234" s="112" t="inlineStr">
        <is>
          <t>200217200700</t>
        </is>
      </c>
      <c r="C234" s="112" t="n"/>
      <c r="D234" s="112" t="inlineStr">
        <is>
          <t>0706617332</t>
        </is>
      </c>
      <c r="E234" s="112" t="inlineStr">
        <is>
          <t>malithransika20@gmail.com</t>
        </is>
      </c>
      <c r="F234" s="112">
        <f>COUNTIF(G234:N234,"Y")</f>
        <v/>
      </c>
      <c r="N234" s="111" t="inlineStr">
        <is>
          <t>Y</t>
        </is>
      </c>
    </row>
    <row r="235">
      <c r="A235" s="112" t="inlineStr">
        <is>
          <t>Kasfbi Abool Jayah</t>
        </is>
      </c>
      <c r="B235" s="112" t="inlineStr">
        <is>
          <t>200218000118</t>
        </is>
      </c>
      <c r="C235" s="112" t="n"/>
      <c r="D235" s="112" t="inlineStr">
        <is>
          <t>0712327504</t>
        </is>
      </c>
      <c r="E235" s="112" t="inlineStr">
        <is>
          <t>it24102666@my.sliit.lk</t>
        </is>
      </c>
      <c r="F235" s="112">
        <f>COUNTIF(G235:N235,"Y")</f>
        <v/>
      </c>
      <c r="N235" s="111" t="inlineStr">
        <is>
          <t>Y</t>
        </is>
      </c>
    </row>
    <row r="236">
      <c r="A236" s="112" t="inlineStr">
        <is>
          <t>Methum Kumarasinghe</t>
        </is>
      </c>
      <c r="B236" s="112" t="inlineStr">
        <is>
          <t>200311610314</t>
        </is>
      </c>
      <c r="C236" s="112" t="n"/>
      <c r="D236" s="112" t="inlineStr">
        <is>
          <t>0770103642</t>
        </is>
      </c>
      <c r="E236" s="112" t="inlineStr">
        <is>
          <t>methum2020@gmail.com</t>
        </is>
      </c>
      <c r="F236" s="112">
        <f>COUNTIF(G236:N236,"Y")</f>
        <v/>
      </c>
      <c r="N236" s="111" t="inlineStr">
        <is>
          <t>Y</t>
        </is>
      </c>
    </row>
    <row r="237">
      <c r="A237" s="112" t="inlineStr">
        <is>
          <t>Pathum Lakshan Bandara</t>
        </is>
      </c>
      <c r="B237" s="112" t="inlineStr">
        <is>
          <t>200407013126</t>
        </is>
      </c>
      <c r="C237" s="112" t="n"/>
      <c r="D237" s="112" t="inlineStr">
        <is>
          <t>0717357550</t>
        </is>
      </c>
      <c r="E237" s="112" t="inlineStr">
        <is>
          <t>pathum.lakshan.dev@gmail.com</t>
        </is>
      </c>
      <c r="F237" s="112">
        <f>COUNTIF(G237:N237,"Y")</f>
        <v/>
      </c>
      <c r="N237" s="111" t="inlineStr">
        <is>
          <t>Y</t>
        </is>
      </c>
    </row>
    <row r="238">
      <c r="A238" s="112" t="inlineStr">
        <is>
          <t>Damidu Ransith</t>
        </is>
      </c>
      <c r="B238" s="112" t="inlineStr">
        <is>
          <t>200428104682</t>
        </is>
      </c>
      <c r="C238" s="112" t="n"/>
      <c r="D238" s="112" t="inlineStr">
        <is>
          <t>0789473751</t>
        </is>
      </c>
      <c r="E238" s="112" t="inlineStr">
        <is>
          <t>damiduransithsl2004@gmail.com</t>
        </is>
      </c>
      <c r="F238" s="112">
        <f>COUNTIF(G238:N238,"Y")</f>
        <v/>
      </c>
      <c r="N238" s="111" t="inlineStr">
        <is>
          <t>Y</t>
        </is>
      </c>
    </row>
    <row r="239">
      <c r="A239" s="112" t="inlineStr">
        <is>
          <t>chathumika devmin</t>
        </is>
      </c>
      <c r="B239" s="112" t="inlineStr">
        <is>
          <t>200511803776</t>
        </is>
      </c>
      <c r="C239" s="112" t="n"/>
      <c r="D239" s="112" t="inlineStr">
        <is>
          <t>0714614352</t>
        </is>
      </c>
      <c r="E239" s="112" t="inlineStr">
        <is>
          <t>chathumikadevmin@icloud.com</t>
        </is>
      </c>
      <c r="F239" s="112">
        <f>COUNTIF(G239:N239,"Y")</f>
        <v/>
      </c>
      <c r="N239" s="111" t="inlineStr">
        <is>
          <t>Y</t>
        </is>
      </c>
    </row>
    <row r="240">
      <c r="A240" s="112" t="inlineStr">
        <is>
          <t>Oshan Rajakaruna</t>
        </is>
      </c>
      <c r="B240" s="112" t="inlineStr">
        <is>
          <t>200110600078</t>
        </is>
      </c>
      <c r="C240" s="112" t="n"/>
      <c r="D240" s="112" t="inlineStr">
        <is>
          <t>0703165099</t>
        </is>
      </c>
      <c r="E240" s="112" t="inlineStr">
        <is>
          <t>oshanrajakaruna.studies@gmail.com</t>
        </is>
      </c>
      <c r="F240" s="112">
        <f>COUNTIF(G240:N240,"Y")</f>
        <v/>
      </c>
      <c r="N240" s="111" t="inlineStr">
        <is>
          <t>Y</t>
        </is>
      </c>
    </row>
    <row r="241">
      <c r="A241" s="112" t="inlineStr">
        <is>
          <t>Minidu Jayasinghe</t>
        </is>
      </c>
      <c r="B241" s="112" t="inlineStr">
        <is>
          <t>200514702158</t>
        </is>
      </c>
      <c r="C241" s="112" t="n"/>
      <c r="D241" s="112" t="inlineStr">
        <is>
          <t>0772443816</t>
        </is>
      </c>
      <c r="E241" s="112" t="inlineStr">
        <is>
          <t>it25102553@my.sliit.lk</t>
        </is>
      </c>
      <c r="F241" s="112">
        <f>COUNTIF(G241:N241,"Y")</f>
        <v/>
      </c>
      <c r="N241" s="111" t="inlineStr">
        <is>
          <t>Y</t>
        </is>
      </c>
    </row>
    <row r="242">
      <c r="A242" s="112" t="inlineStr">
        <is>
          <t>Ashani Anuththara</t>
        </is>
      </c>
      <c r="B242" s="112" t="inlineStr">
        <is>
          <t>200480303984</t>
        </is>
      </c>
      <c r="C242" s="112" t="inlineStr">
        <is>
          <t>102643399</t>
        </is>
      </c>
      <c r="D242" s="112" t="inlineStr">
        <is>
          <t>0777733250</t>
        </is>
      </c>
      <c r="E242" s="112" t="inlineStr">
        <is>
          <t>ashanianuththara117@gmail.com</t>
        </is>
      </c>
      <c r="F242" s="112">
        <f>COUNTIF(G242:N242,"Y")</f>
        <v/>
      </c>
      <c r="N242" s="111" t="inlineStr">
        <is>
          <t>Y</t>
        </is>
      </c>
    </row>
    <row r="243">
      <c r="A243" s="112" t="inlineStr">
        <is>
          <t>Viruli Vihanya</t>
        </is>
      </c>
      <c r="B243" s="112" t="inlineStr">
        <is>
          <t>200255202708</t>
        </is>
      </c>
      <c r="C243" s="112" t="n"/>
      <c r="D243" s="112" t="inlineStr">
        <is>
          <t>0719660775</t>
        </is>
      </c>
      <c r="E243" s="112" t="inlineStr">
        <is>
          <t>oshanichandanayake@gmail.com</t>
        </is>
      </c>
      <c r="F243" s="112">
        <f>COUNTIF(G243:N243,"Y")</f>
        <v/>
      </c>
      <c r="N243" s="111" t="inlineStr">
        <is>
          <t>Y</t>
        </is>
      </c>
    </row>
    <row r="244">
      <c r="A244" s="112" t="inlineStr">
        <is>
          <t>Pirathap Sathiyaseelan</t>
        </is>
      </c>
      <c r="B244" s="112" t="inlineStr">
        <is>
          <t>200300200184</t>
        </is>
      </c>
      <c r="C244" s="112" t="n"/>
      <c r="D244" s="112" t="inlineStr">
        <is>
          <t>0757938169</t>
        </is>
      </c>
      <c r="E244" s="112" t="inlineStr">
        <is>
          <t>pirathap.dev@gmail.com</t>
        </is>
      </c>
      <c r="F244" s="112">
        <f>COUNTIF(G244:N244,"Y")</f>
        <v/>
      </c>
      <c r="N244" s="111" t="inlineStr">
        <is>
          <t>Y</t>
        </is>
      </c>
    </row>
    <row r="245">
      <c r="A245" s="112" t="inlineStr">
        <is>
          <t>Hamsiga Srikanthaverl</t>
        </is>
      </c>
      <c r="B245" s="112" t="inlineStr">
        <is>
          <t>200263800249</t>
        </is>
      </c>
      <c r="C245" s="112" t="n"/>
      <c r="D245" s="112" t="inlineStr">
        <is>
          <t>0764728456</t>
        </is>
      </c>
      <c r="E245" s="112" t="inlineStr">
        <is>
          <t>hamsisrikanthaverl@gmail.com</t>
        </is>
      </c>
      <c r="F245" s="112">
        <f>COUNTIF(G245:N245,"Y")</f>
        <v/>
      </c>
      <c r="N245" s="111" t="inlineStr">
        <is>
          <t>Y</t>
        </is>
      </c>
    </row>
    <row r="246">
      <c r="A246" s="112" t="inlineStr">
        <is>
          <t>Sanojan Thayaparan</t>
        </is>
      </c>
      <c r="B246" s="112" t="inlineStr">
        <is>
          <t>200222501304</t>
        </is>
      </c>
      <c r="C246" s="112" t="n"/>
      <c r="D246" s="112" t="inlineStr">
        <is>
          <t>0775604390</t>
        </is>
      </c>
      <c r="E246" s="112" t="inlineStr">
        <is>
          <t>sanojan.thayaparan@gmail.com</t>
        </is>
      </c>
      <c r="F246" s="112">
        <f>COUNTIF(G246:N246,"Y")</f>
        <v/>
      </c>
      <c r="N246" s="111" t="inlineStr">
        <is>
          <t>Y</t>
        </is>
      </c>
    </row>
    <row r="247">
      <c r="A247" s="112" t="inlineStr">
        <is>
          <t>Thisara Himansi</t>
        </is>
      </c>
      <c r="B247" s="112" t="inlineStr">
        <is>
          <t>200377400590</t>
        </is>
      </c>
      <c r="C247" s="112" t="n"/>
      <c r="D247" s="112" t="inlineStr">
        <is>
          <t>0717816554</t>
        </is>
      </c>
      <c r="E247" s="112" t="inlineStr">
        <is>
          <t>himansiwelgama33@gmail.com</t>
        </is>
      </c>
      <c r="F247" s="112">
        <f>COUNTIF(G247:N247,"Y")</f>
        <v/>
      </c>
      <c r="N247" s="111" t="inlineStr">
        <is>
          <t>Y</t>
        </is>
      </c>
    </row>
    <row r="248">
      <c r="A248" s="112" t="inlineStr">
        <is>
          <t>R.M.G.Rajasinghe</t>
        </is>
      </c>
      <c r="B248" s="112" t="inlineStr">
        <is>
          <t>200319710120</t>
        </is>
      </c>
      <c r="C248" s="112" t="n"/>
      <c r="D248" s="112" t="inlineStr">
        <is>
          <t>0741369017</t>
        </is>
      </c>
      <c r="E248" s="112" t="inlineStr">
        <is>
          <t>raveenrajasinghe@gmail.com</t>
        </is>
      </c>
      <c r="F248" s="112">
        <f>COUNTIF(G248:N248,"Y")</f>
        <v/>
      </c>
      <c r="N248" s="111" t="inlineStr">
        <is>
          <t>Y</t>
        </is>
      </c>
    </row>
    <row r="249">
      <c r="A249" s="112" t="inlineStr">
        <is>
          <t>Samarasinghe M.H.D</t>
        </is>
      </c>
      <c r="B249" s="112" t="inlineStr">
        <is>
          <t>200433704392</t>
        </is>
      </c>
      <c r="C249" s="112" t="n"/>
      <c r="D249" s="112" t="inlineStr">
        <is>
          <t>0740502524</t>
        </is>
      </c>
      <c r="E249" s="112" t="inlineStr">
        <is>
          <t>heshplus163@gmail.com</t>
        </is>
      </c>
      <c r="F249" s="112">
        <f>COUNTIF(G249:N249,"Y")</f>
        <v/>
      </c>
      <c r="N249" s="111" t="inlineStr">
        <is>
          <t>Y</t>
        </is>
      </c>
    </row>
    <row r="250">
      <c r="A250" s="112" t="inlineStr">
        <is>
          <t>Pavan Pamod</t>
        </is>
      </c>
      <c r="B250" s="112" t="inlineStr">
        <is>
          <t>200433100262</t>
        </is>
      </c>
      <c r="C250" s="112" t="n"/>
      <c r="D250" s="112" t="inlineStr">
        <is>
          <t>0713358343</t>
        </is>
      </c>
      <c r="E250" s="112" t="inlineStr">
        <is>
          <t>pavan4gunadasa@gmail.com</t>
        </is>
      </c>
      <c r="F250" s="112">
        <f>COUNTIF(G250:N250,"Y")</f>
        <v/>
      </c>
      <c r="N250" s="111" t="inlineStr">
        <is>
          <t>Y</t>
        </is>
      </c>
    </row>
    <row r="251">
      <c r="A251" s="112" t="inlineStr">
        <is>
          <t>Shanaka Kalubowilage</t>
        </is>
      </c>
      <c r="B251" s="112" t="inlineStr">
        <is>
          <t>200215501576</t>
        </is>
      </c>
      <c r="C251" s="112" t="n"/>
      <c r="D251" s="112" t="inlineStr">
        <is>
          <t>0763837189</t>
        </is>
      </c>
      <c r="E251" s="112" t="inlineStr">
        <is>
          <t>sskalubowilage@gmail.com</t>
        </is>
      </c>
      <c r="F251" s="112">
        <f>COUNTIF(G251:N251,"Y")</f>
        <v/>
      </c>
      <c r="N251" s="111" t="inlineStr">
        <is>
          <t>Y</t>
        </is>
      </c>
    </row>
  </sheetData>
  <dataValidations count="4">
    <dataValidation sqref="D2:D206" showDropDown="1" showInputMessage="0" showErrorMessage="1" allowBlank="1" type="list">
      <formula1>"0721741038,0777213372,0767653620,0763824927,0767771382,0781688315,0757643006,0718963821,0715433156,0768366946,0702310016,0789572460,0719343364,0774866592,0786568796,0721270234,0717144188,0768932606,0766922989,0767309678,0768086696,0764598972,0774358800,07"&amp;"84566471,0719499508,0705991020,0764231685,0760077247,0701656600,0760429021,0705706357,0771089061,0716633585,0762768427,0770490630,0766807309,0728350607,0727250101,0768014423,0704093176,0714282933,0764479058,0754854596,0757119305,0740114991,0702330851,0715"&amp;"305954,0715946052,0764505146,0718846865,0765723317,0703450059,0768976838,0723033233,0765384010,0766514423,0727395823,0766035565,0754460369,0740194571,0761888026,0702644651,0716293391,0771432469,0770794058,0704306547,0778647669,0719174257,0740976916,075631"&amp;"8740,0702101128,0714020860,0768448498,0743183632,0705805305,0761237116,0714379981,0781646772,0762346023,0740174408,0702313512,0765648097,0773532641,0765596356,0779358820,0717246685,0771950818,0777567090,0770157283,0779886722,0702479016,0719026847,07126745"&amp;"47,0774621600,0740775472,0772018119,0702382181,0787585060,0786821618,0763951401,0703980535,0721556684,0710720439,0768584459,0702677320,0755440008,0786749160,0701203201,0701566247,0760580735,0712771105,0778231138,0740484611,0767431012,0707430124,0766409852"&amp;",0705334261,0765774721,0788082082,0703344070,0764360502,0715768567,0763748008,0717472983,0719277149,0743753208,0762769259,0704366238,0711213484,0715947496,0703165099,0764215348,0774458024,0714289080,0716341217,0774981865,0705778826,0758039409,0714292641,0"&amp;"787462729,0710701154,0756653261,0774170117,0768102878,0766277417,0767697253,0715526677,0716591567,0707021807,0763045629,0776040512,0714514446,0776552986,0714735904,0752212421,0755968340,0778071774,0789620569,0711651586,0760015755,0757981554,0760711033,072"&amp;"5044088,0752631611,0785493978,0728288317,0773875808,0713274788,0764300096,0763984663,0702557227,0710753854,0767328270,0761863828,0743916818,0772218163,0741606014,0717680297,0703849949,0703842009,0770475762,0779079903,0763481066,0775595824,0774788857,07406"&amp;"37032,0766400796,0740670876,0717374272,0742326086,0712914818,0768575359,0702595383,0774869219,0743914482,0743609962,0705339022,0767611627,0770575637,0772465594,0761335018,0740804159,0778955252,0702051708,0718977464"</formula1>
    </dataValidation>
    <dataValidation sqref="B2:B206" showDropDown="1" showInputMessage="0" showErrorMessage="1" allowBlank="1" type="list">
      <formula1>"200214300787,200517404859,200112400637,200207504228,200263903359,200215002486,200322712736,200211503287,200375510050,200532201462,200632705382,200007001209,200106901600,200135302627,200166001549,200328414721,200261602241,200333400112,200306401162,20045111"&amp;"0077,200372100728,200378112801,200351102729,200111002595,200228602362,200275700890,200277102563,200379400572,200380811606,200513800121,200270702564,200423302190,200284603184,200460700270,200311612449,200385312837,200305300832,200477805087,200373311960,200"&amp;"473802594,200603103194,200305901262,200527401462,200554204328,200584104242,200463400766,200210200490,200359611125,200432000262,200482703063,200465903508,200377200262,200315410842,200471402232,200526801753,200523900961,200409114658,200415600679,20018020083"&amp;"7,200386612676,200335010660,200268502914,200435001769,200504203358,200231102812,200563201476,20032571134,200176701370,200420803939,200509301019,200357510078,200418402380,200635603949,200368811176,200419100378,200235103264,200424300280,200400611450,2003358"&amp;"00113,200515203003,200328312553,200606603039,200235002610,200419001212,200528301178,200319913103,200405812728,200332400312,200515501368,200582001451,200573400300,200573302820,200403711255,200581601727,200201101220,200417503280,200524601982,200483903948,20"&amp;"0325500253,200557901851,200428102329,200501000443,200205102410,200782805104,200373900408,200575802192,200524601435,200458112918,200507004217,200203200899,200475904052,200415100671,200614300410,200268701323,200503500679,200227003094,200367600589,2003148110"&amp;"564,200556801916,200485704063,200331512769,200319612178,200526601434,200565001636,200112000000,200319000000,200501000000,200316000000,200452000000,200481000000,200111000000,200421000000,200501400542,200528904897,200428303431,200374200536,200234600918,2005"&amp;"08604532,200504501211,200530703285,200425804148,200507104301,200731204986,200360911620,200460301585,200282001902,200583000638,200352303577,200300800837,200563901946,200379912214,200363700136,200368501142,200455410683,200210903403,200702800820,200423203778"&amp;",200403110795,200454011829,200208902949,200464201766,200271601141,200412501102,200205301342,200208801882,200324210522,200215301630,200328410750,200369112314,200365711746,200236000817,200384211024,200429501140,200428800685,200580200414,200366412481,2003710"&amp;"11867,200425404332,200412201424,200513303913,200557302863,200602404605,200504201495,200516301825,200405210757,20012102611,200211600020,200507902450,200483201823,200504702057,200531801223,20040211282,200471200476,200367811759,200462601300,200579900428,2003"&amp;"11401180,200420901109,200302600134,200501700506,200232600960,200601003998,200220501828,200376011738,200410013152"</formula1>
    </dataValidation>
    <dataValidation sqref="C2:C206" showDropDown="1" showInputMessage="0" showErrorMessage="1" allowBlank="1" type="list">
      <formula1>"102571107,100804391,102309418,102571658,99948554,101618416,102238110,102570326,102461187,102570196,101026364,102543953,102543802,102623563,102576393,102237850,102544409,102543892,101573952,102543830,102226575,102606871,102570873,102544106,102621421,102417"&amp;"614,102203470,102621893,102573890,102621441,102620880,102606863,102545514,102024736,102017314,101099311,102585493,102615413,102610683,102611923,102622173,102602232,102621461,102545641,102625813,102566930,102622026,102571882,101161193,102646010,102569659,1"&amp;"01572728,102644429,102641066,102645600,102644287,102638092,102198902,102647041"</formula1>
    </dataValidation>
    <dataValidation sqref="F2:F206" showDropDown="1" showInputMessage="0" showErrorMessage="0" allowBlank="1" type="custom">
      <formula1>AND(ISNUMBER(F2),(NOT(OR(NOT(ISERROR(DATEVALUE(F2))), AND(ISNUMBER(F2), LEFT(CELL("format", F2))="D")))))</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s>
  <pageMargins left="0.75" right="0.75" top="1" bottom="1" header="0" footer="0"/>
  <pageSetup orientation="portrait" paperSize="9"/>
  <tableParts count="1">
    <tablePart xmlns:r="http://schemas.openxmlformats.org/officeDocument/2006/relationships" r:id="rId206"/>
  </tableParts>
</worksheet>
</file>

<file path=xl/worksheets/sheet10.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B3" sqref="B3"/>
    </sheetView>
  </sheetViews>
  <sheetFormatPr baseColWidth="8" defaultColWidth="14.43" defaultRowHeight="15.75" customHeight="1"/>
  <cols>
    <col width="26" customWidth="1" style="108" min="1" max="1"/>
    <col width="18" customWidth="1" style="108" min="2" max="2"/>
    <col width="16" customWidth="1" style="108" min="3" max="3"/>
    <col width="15" customWidth="1" style="108" min="4" max="4"/>
    <col width="30" customWidth="1" style="108" min="5" max="5"/>
    <col width="8.710000000000001" customWidth="1" style="108" min="6" max="26"/>
  </cols>
  <sheetData>
    <row r="1">
      <c r="A1" s="102" t="inlineStr">
        <is>
          <t>Full Name</t>
        </is>
      </c>
      <c r="B1" s="102" t="inlineStr">
        <is>
          <t>IEEE Membership No</t>
        </is>
      </c>
      <c r="C1" s="102" t="inlineStr">
        <is>
          <t>NIC</t>
        </is>
      </c>
      <c r="D1" s="102" t="inlineStr">
        <is>
          <t>Phone Number</t>
        </is>
      </c>
      <c r="E1" s="102" t="inlineStr">
        <is>
          <t>Email Address</t>
        </is>
      </c>
    </row>
    <row r="2">
      <c r="A2" s="103" t="inlineStr">
        <is>
          <t>Dinuka Nirman</t>
        </is>
      </c>
      <c r="B2" s="103" t="n"/>
      <c r="C2" s="103" t="inlineStr">
        <is>
          <t>200214300787</t>
        </is>
      </c>
      <c r="D2" s="103" t="inlineStr">
        <is>
          <t>0721741038</t>
        </is>
      </c>
      <c r="E2" s="103" t="inlineStr">
        <is>
          <t>adv.dinuka@gmail.com</t>
        </is>
      </c>
    </row>
    <row r="3">
      <c r="A3" s="103" t="inlineStr">
        <is>
          <t>Yasiru Vitharanage</t>
        </is>
      </c>
      <c r="B3" s="103" t="n"/>
      <c r="C3" s="103" t="inlineStr">
        <is>
          <t>200517404859</t>
        </is>
      </c>
      <c r="D3" s="103" t="inlineStr">
        <is>
          <t>0777213372</t>
        </is>
      </c>
      <c r="E3" s="103" t="inlineStr">
        <is>
          <t>yasiruvitharanage@gmail.com</t>
        </is>
      </c>
    </row>
    <row r="4">
      <c r="A4" s="103" t="inlineStr">
        <is>
          <t>Savinath Udawaththa</t>
        </is>
      </c>
      <c r="B4" s="103" t="n"/>
      <c r="C4" s="103" t="inlineStr">
        <is>
          <t>200112400637</t>
        </is>
      </c>
      <c r="D4" s="103" t="inlineStr">
        <is>
          <t>0767653620</t>
        </is>
      </c>
      <c r="E4" s="103" t="inlineStr">
        <is>
          <t>udawaththasavinath@gmail.com</t>
        </is>
      </c>
    </row>
    <row r="5">
      <c r="A5" s="103" t="inlineStr">
        <is>
          <t>Dakshina Yasiru Perera</t>
        </is>
      </c>
      <c r="B5" s="103" t="n"/>
      <c r="C5" s="103" t="inlineStr">
        <is>
          <t>200207504228</t>
        </is>
      </c>
      <c r="D5" s="103" t="inlineStr">
        <is>
          <t>0763824927</t>
        </is>
      </c>
      <c r="E5" s="103" t="inlineStr">
        <is>
          <t>dakshinayasi@gmail.com</t>
        </is>
      </c>
    </row>
    <row r="6">
      <c r="A6" s="103" t="inlineStr">
        <is>
          <t>Mandira Polgampala</t>
        </is>
      </c>
      <c r="B6" s="103" t="n"/>
      <c r="C6" s="103" t="inlineStr">
        <is>
          <t>200263903359</t>
        </is>
      </c>
      <c r="D6" s="103" t="inlineStr">
        <is>
          <t>0767771382</t>
        </is>
      </c>
      <c r="E6" s="103" t="inlineStr">
        <is>
          <t>mandirapmh@gmail.com</t>
        </is>
      </c>
    </row>
    <row r="7">
      <c r="A7" s="103" t="inlineStr">
        <is>
          <t>Kasun Bandara</t>
        </is>
      </c>
      <c r="B7" s="103" t="n"/>
      <c r="C7" s="103" t="inlineStr">
        <is>
          <t>200215002486</t>
        </is>
      </c>
      <c r="D7" s="103" t="inlineStr">
        <is>
          <t>0781688315</t>
        </is>
      </c>
      <c r="E7" s="103" t="inlineStr">
        <is>
          <t>kasunvimukthiba000@gmail.com</t>
        </is>
      </c>
    </row>
    <row r="8">
      <c r="A8" s="103" t="inlineStr">
        <is>
          <t>Sethum Dilmith</t>
        </is>
      </c>
      <c r="B8" s="103" t="n"/>
      <c r="C8" s="103" t="inlineStr">
        <is>
          <t>200322712736</t>
        </is>
      </c>
      <c r="D8" s="103" t="inlineStr">
        <is>
          <t>0757643006</t>
        </is>
      </c>
      <c r="E8" s="103" t="inlineStr">
        <is>
          <t>sethumd2003@gmail.com</t>
        </is>
      </c>
    </row>
    <row r="9">
      <c r="A9" s="103" t="inlineStr">
        <is>
          <t>Pamith Adikari</t>
        </is>
      </c>
      <c r="B9" s="103" t="n"/>
      <c r="C9" s="103" t="inlineStr">
        <is>
          <t>200211503287</t>
        </is>
      </c>
      <c r="D9" s="103" t="inlineStr">
        <is>
          <t>0718963821</t>
        </is>
      </c>
      <c r="E9" s="103" t="inlineStr">
        <is>
          <t>pamithdulkith2002@gmail.com</t>
        </is>
      </c>
    </row>
    <row r="10">
      <c r="A10" s="103" t="inlineStr">
        <is>
          <t>Prabha Harankahadeniya</t>
        </is>
      </c>
      <c r="B10" s="103" t="n"/>
      <c r="C10" s="103" t="inlineStr">
        <is>
          <t>200375510050</t>
        </is>
      </c>
      <c r="D10" s="103" t="inlineStr">
        <is>
          <t>0715433156</t>
        </is>
      </c>
      <c r="E10" s="103" t="inlineStr">
        <is>
          <t>prabhaharankahadeniya911@gmail.com</t>
        </is>
      </c>
    </row>
    <row r="11">
      <c r="A11" s="103" t="inlineStr">
        <is>
          <t>Manav Siriwardane</t>
        </is>
      </c>
      <c r="B11" s="103" t="n"/>
      <c r="C11" s="103" t="inlineStr">
        <is>
          <t>200532201462</t>
        </is>
      </c>
      <c r="D11" s="103" t="inlineStr">
        <is>
          <t>0768366946</t>
        </is>
      </c>
      <c r="E11" s="103" t="inlineStr">
        <is>
          <t>sirimanav123@gmail.com</t>
        </is>
      </c>
    </row>
    <row r="12">
      <c r="A12" s="103" t="inlineStr">
        <is>
          <t>Binuka Weerawardhana</t>
        </is>
      </c>
      <c r="B12" s="103" t="n"/>
      <c r="C12" s="103" t="inlineStr">
        <is>
          <t>200632705382</t>
        </is>
      </c>
      <c r="D12" s="103" t="inlineStr">
        <is>
          <t>0702310016</t>
        </is>
      </c>
      <c r="E12" s="103" t="inlineStr">
        <is>
          <t>inukadamhiruweerawardhana@gmail.com</t>
        </is>
      </c>
    </row>
    <row r="13">
      <c r="A13" s="103" t="inlineStr">
        <is>
          <t>Sanjuka KGS</t>
        </is>
      </c>
      <c r="B13" s="103" t="n"/>
      <c r="C13" s="103" t="inlineStr">
        <is>
          <t>200007001209</t>
        </is>
      </c>
      <c r="D13" s="103" t="inlineStr">
        <is>
          <t>0789572460</t>
        </is>
      </c>
      <c r="E13" s="103" t="inlineStr">
        <is>
          <t>sachith.sanjuka2000@gmail.com</t>
        </is>
      </c>
    </row>
    <row r="14">
      <c r="A14" s="103" t="inlineStr">
        <is>
          <t>Chamod Gunarathna</t>
        </is>
      </c>
      <c r="B14" s="103" t="n"/>
      <c r="C14" s="103" t="inlineStr">
        <is>
          <t>200106901600</t>
        </is>
      </c>
      <c r="D14" s="103" t="inlineStr">
        <is>
          <t>0719343364</t>
        </is>
      </c>
      <c r="E14" s="103" t="inlineStr">
        <is>
          <t>chamodshyamal12@gmail.com</t>
        </is>
      </c>
    </row>
    <row r="15">
      <c r="A15" s="103" t="inlineStr">
        <is>
          <t>Imeth Wijesekara</t>
        </is>
      </c>
      <c r="B15" s="103" t="n"/>
      <c r="C15" s="103" t="inlineStr">
        <is>
          <t>200135302627</t>
        </is>
      </c>
      <c r="D15" s="103" t="inlineStr">
        <is>
          <t>0774866592</t>
        </is>
      </c>
      <c r="E15" s="103" t="inlineStr">
        <is>
          <t>randinuimeth@gmail.com</t>
        </is>
      </c>
    </row>
    <row r="16">
      <c r="A16" s="103" t="inlineStr">
        <is>
          <t>Oshini Jagoda</t>
        </is>
      </c>
      <c r="B16" s="103" t="n"/>
      <c r="C16" s="103" t="inlineStr">
        <is>
          <t>200166001549</t>
        </is>
      </c>
      <c r="D16" s="103" t="inlineStr">
        <is>
          <t>0786568796</t>
        </is>
      </c>
      <c r="E16" s="103" t="inlineStr">
        <is>
          <t>oshinijagoda@gmail.com</t>
        </is>
      </c>
    </row>
    <row r="17">
      <c r="A17" s="103" t="inlineStr">
        <is>
          <t>Chathumina Kalatuwage</t>
        </is>
      </c>
      <c r="B17" s="103" t="n"/>
      <c r="C17" s="103" t="inlineStr">
        <is>
          <t>200328414721</t>
        </is>
      </c>
      <c r="D17" s="103" t="inlineStr">
        <is>
          <t>0721270234</t>
        </is>
      </c>
      <c r="E17" s="103" t="inlineStr">
        <is>
          <t>chathumina@ieee.org</t>
        </is>
      </c>
    </row>
    <row r="18">
      <c r="A18" s="103" t="inlineStr">
        <is>
          <t>Senethmi Wickramanayake</t>
        </is>
      </c>
      <c r="B18" s="103" t="n"/>
      <c r="C18" s="103" t="inlineStr">
        <is>
          <t>200261602241</t>
        </is>
      </c>
      <c r="D18" s="103" t="inlineStr">
        <is>
          <t>0717144188</t>
        </is>
      </c>
      <c r="E18" s="103" t="inlineStr">
        <is>
          <t>senewicks@gmail.com</t>
        </is>
      </c>
    </row>
    <row r="19">
      <c r="A19" s="103" t="inlineStr">
        <is>
          <t>Gathsara Gunasinghe</t>
        </is>
      </c>
      <c r="B19" s="103" t="n"/>
      <c r="C19" s="103" t="inlineStr">
        <is>
          <t>200333400112</t>
        </is>
      </c>
      <c r="D19" s="103" t="inlineStr">
        <is>
          <t>0768932606</t>
        </is>
      </c>
      <c r="E19" s="103" t="inlineStr">
        <is>
          <t>gathsaragunasinghe606@gmail.com</t>
        </is>
      </c>
    </row>
    <row r="20">
      <c r="A20" s="103" t="inlineStr">
        <is>
          <t>Senith Munasinghe</t>
        </is>
      </c>
      <c r="B20" s="103" t="n"/>
      <c r="C20" s="103" t="inlineStr">
        <is>
          <t>200306401162</t>
        </is>
      </c>
      <c r="D20" s="103" t="inlineStr">
        <is>
          <t>0766922989</t>
        </is>
      </c>
      <c r="E20" s="103" t="inlineStr">
        <is>
          <t>en23696310@my.sliit.lk</t>
        </is>
      </c>
    </row>
    <row r="21">
      <c r="A21" s="103" t="inlineStr">
        <is>
          <t>Parami Wijesundara</t>
        </is>
      </c>
      <c r="B21" s="103" t="n"/>
      <c r="C21" s="103" t="inlineStr">
        <is>
          <t>200451110077</t>
        </is>
      </c>
      <c r="D21" s="103" t="inlineStr">
        <is>
          <t>0767309678</t>
        </is>
      </c>
      <c r="E21" s="103" t="inlineStr">
        <is>
          <t>wijesundaraparami121@gmail.com</t>
        </is>
      </c>
    </row>
    <row r="22">
      <c r="A22" s="103" t="inlineStr">
        <is>
          <t>Sehansa Welihinda</t>
        </is>
      </c>
      <c r="B22" s="103" t="n"/>
      <c r="C22" s="103" t="inlineStr">
        <is>
          <t>200372100728</t>
        </is>
      </c>
      <c r="D22" s="103" t="inlineStr">
        <is>
          <t>0768086696</t>
        </is>
      </c>
      <c r="E22" s="103" t="inlineStr">
        <is>
          <t>sehansawelihinda@gmail.com</t>
        </is>
      </c>
    </row>
    <row r="23">
      <c r="A23" s="103" t="inlineStr">
        <is>
          <t>Samadhi Madumali</t>
        </is>
      </c>
      <c r="B23" s="103" t="n"/>
      <c r="C23" s="103" t="inlineStr">
        <is>
          <t>200378112801</t>
        </is>
      </c>
      <c r="D23" s="103" t="inlineStr">
        <is>
          <t>0764598972</t>
        </is>
      </c>
      <c r="E23" s="103" t="inlineStr">
        <is>
          <t>samadimadumali125@gmail.com</t>
        </is>
      </c>
    </row>
    <row r="24">
      <c r="A24" s="103" t="inlineStr">
        <is>
          <t>Hansi Fernando</t>
        </is>
      </c>
      <c r="B24" s="103" t="n"/>
      <c r="C24" s="103" t="inlineStr">
        <is>
          <t>200351102729</t>
        </is>
      </c>
      <c r="D24" s="103" t="inlineStr">
        <is>
          <t>0774358800</t>
        </is>
      </c>
      <c r="E24" s="103" t="inlineStr">
        <is>
          <t>en24030144@my.sliit.lk</t>
        </is>
      </c>
    </row>
    <row r="25">
      <c r="A25" s="103" t="inlineStr">
        <is>
          <t>Keshan Dias</t>
        </is>
      </c>
      <c r="B25" s="103" t="n"/>
      <c r="C25" s="103" t="inlineStr">
        <is>
          <t>200111002595</t>
        </is>
      </c>
      <c r="D25" s="103" t="inlineStr">
        <is>
          <t>0784566471</t>
        </is>
      </c>
      <c r="E25" s="103" t="inlineStr">
        <is>
          <t>en22185334@my.sliit.lk</t>
        </is>
      </c>
    </row>
  </sheetData>
  <autoFilter ref="$A$1:$E$25"/>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B3" sqref="B3"/>
    </sheetView>
  </sheetViews>
  <sheetFormatPr baseColWidth="8" defaultColWidth="14.43" defaultRowHeight="15.75" customHeight="1"/>
  <cols>
    <col width="26" customWidth="1" style="108" min="1" max="1"/>
    <col width="18" customWidth="1" style="108" min="2" max="2"/>
    <col width="16" customWidth="1" style="108" min="3" max="3"/>
    <col width="15" customWidth="1" style="108" min="4" max="4"/>
    <col width="30" customWidth="1" style="108" min="5" max="5"/>
    <col width="8.710000000000001" customWidth="1" style="108" min="6" max="26"/>
  </cols>
  <sheetData>
    <row r="1">
      <c r="A1" s="102" t="inlineStr">
        <is>
          <t>Full Name</t>
        </is>
      </c>
      <c r="B1" s="102" t="inlineStr">
        <is>
          <t>IEEE Membership No</t>
        </is>
      </c>
      <c r="C1" s="102" t="inlineStr">
        <is>
          <t>NIC</t>
        </is>
      </c>
      <c r="D1" s="102" t="inlineStr">
        <is>
          <t>Phone Number</t>
        </is>
      </c>
      <c r="E1" s="102" t="inlineStr">
        <is>
          <t>Email Address</t>
        </is>
      </c>
    </row>
    <row r="2">
      <c r="A2" s="103" t="inlineStr">
        <is>
          <t>M M Saadhath Ahmed</t>
        </is>
      </c>
      <c r="B2" s="103" t="n"/>
      <c r="C2" s="103" t="inlineStr">
        <is>
          <t>200228602362</t>
        </is>
      </c>
      <c r="D2" s="103" t="inlineStr">
        <is>
          <t>0719499508</t>
        </is>
      </c>
      <c r="E2" s="103" t="inlineStr">
        <is>
          <t>saadhathxlr8@gmail.com</t>
        </is>
      </c>
    </row>
    <row r="3">
      <c r="A3" s="103" t="inlineStr">
        <is>
          <t>Dinuki Gunawardana</t>
        </is>
      </c>
      <c r="B3" s="103" t="n"/>
      <c r="C3" s="103" t="inlineStr">
        <is>
          <t>200275700890</t>
        </is>
      </c>
      <c r="D3" s="103" t="inlineStr">
        <is>
          <t>0705991020</t>
        </is>
      </c>
      <c r="E3" s="103" t="inlineStr">
        <is>
          <t>dinukig13@gmail.com</t>
        </is>
      </c>
    </row>
    <row r="4">
      <c r="A4" s="103" t="inlineStr">
        <is>
          <t>Vidara Karannagoda</t>
        </is>
      </c>
      <c r="B4" s="103" t="n"/>
      <c r="C4" s="103" t="inlineStr">
        <is>
          <t>200277102563</t>
        </is>
      </c>
      <c r="D4" s="103" t="inlineStr">
        <is>
          <t>0764231685</t>
        </is>
      </c>
      <c r="E4" s="103" t="inlineStr">
        <is>
          <t>ransiluni.2002@gmail.com</t>
        </is>
      </c>
    </row>
    <row r="5">
      <c r="A5" s="103" t="inlineStr">
        <is>
          <t>Shenali Fernando</t>
        </is>
      </c>
      <c r="B5" s="103" t="n"/>
      <c r="C5" s="103" t="inlineStr">
        <is>
          <t>200379400572</t>
        </is>
      </c>
      <c r="D5" s="103" t="inlineStr">
        <is>
          <t>0760077247</t>
        </is>
      </c>
      <c r="E5" s="103" t="inlineStr">
        <is>
          <t>shenalifernando856@gmail.com</t>
        </is>
      </c>
    </row>
    <row r="6">
      <c r="A6" s="103" t="inlineStr">
        <is>
          <t>Supundi Rashmini Wijesingha</t>
        </is>
      </c>
      <c r="B6" s="103" t="n"/>
      <c r="C6" s="103" t="inlineStr">
        <is>
          <t>200380811606</t>
        </is>
      </c>
      <c r="D6" s="103" t="inlineStr">
        <is>
          <t>0701656600</t>
        </is>
      </c>
      <c r="E6" s="103" t="inlineStr">
        <is>
          <t>supundirashmini200311@gmail.com</t>
        </is>
      </c>
    </row>
    <row r="7">
      <c r="A7" s="103" t="inlineStr">
        <is>
          <t>Manith Gamage</t>
        </is>
      </c>
      <c r="B7" s="103" t="n"/>
      <c r="C7" s="103" t="inlineStr">
        <is>
          <t>200513800121</t>
        </is>
      </c>
      <c r="D7" s="103" t="inlineStr">
        <is>
          <t>0760429021</t>
        </is>
      </c>
      <c r="E7" s="103" t="inlineStr">
        <is>
          <t>manithsgamage@gmail.com</t>
        </is>
      </c>
    </row>
    <row r="8">
      <c r="A8" s="103" t="inlineStr">
        <is>
          <t>W.M. Nimnadi Dulwanya</t>
        </is>
      </c>
      <c r="B8" s="103" t="n"/>
      <c r="C8" s="103" t="inlineStr">
        <is>
          <t>200270702564</t>
        </is>
      </c>
      <c r="D8" s="103" t="inlineStr">
        <is>
          <t>0705706357</t>
        </is>
      </c>
      <c r="E8" s="103" t="inlineStr">
        <is>
          <t>nimnadi.01@gmail.com</t>
        </is>
      </c>
    </row>
    <row r="9">
      <c r="A9" s="103" t="inlineStr">
        <is>
          <t>Shageeshan</t>
        </is>
      </c>
      <c r="B9" s="103" t="n"/>
      <c r="C9" s="103" t="inlineStr">
        <is>
          <t>200423302190</t>
        </is>
      </c>
      <c r="D9" s="103" t="inlineStr">
        <is>
          <t>0771089061</t>
        </is>
      </c>
      <c r="E9" s="103" t="inlineStr">
        <is>
          <t>shageejoxtyn@gmail.com</t>
        </is>
      </c>
    </row>
    <row r="10">
      <c r="A10" s="103" t="inlineStr">
        <is>
          <t>Sahnas Thufail</t>
        </is>
      </c>
      <c r="B10" s="103" t="n"/>
      <c r="C10" s="103" t="inlineStr">
        <is>
          <t>200284603184</t>
        </is>
      </c>
      <c r="D10" s="103" t="inlineStr">
        <is>
          <t>0716633585</t>
        </is>
      </c>
      <c r="E10" s="103" t="inlineStr">
        <is>
          <t>sahnasthufail@gmail.com</t>
        </is>
      </c>
    </row>
    <row r="11">
      <c r="A11" s="103" t="inlineStr">
        <is>
          <t>Shehani Lakshika Chandrakumar</t>
        </is>
      </c>
      <c r="B11" s="103" t="n"/>
      <c r="C11" s="103" t="inlineStr">
        <is>
          <t>200460700270</t>
        </is>
      </c>
      <c r="D11" s="103" t="inlineStr">
        <is>
          <t>0762768427</t>
        </is>
      </c>
      <c r="E11" s="103" t="inlineStr">
        <is>
          <t>shehanilakshika304@gmail.com</t>
        </is>
      </c>
    </row>
    <row r="12">
      <c r="A12" s="103" t="inlineStr">
        <is>
          <t>Abdul Rasheed Ajeemuzzan</t>
        </is>
      </c>
      <c r="B12" s="103" t="n"/>
      <c r="C12" s="103" t="inlineStr">
        <is>
          <t>200311612449</t>
        </is>
      </c>
      <c r="D12" s="103" t="inlineStr">
        <is>
          <t>0770490630</t>
        </is>
      </c>
      <c r="E12" s="103" t="inlineStr">
        <is>
          <t>ajeesk07@gmail.com</t>
        </is>
      </c>
    </row>
    <row r="13">
      <c r="A13" s="103" t="inlineStr">
        <is>
          <t>G.K. Janudi Onethra De Silva</t>
        </is>
      </c>
      <c r="B13" s="103" t="n"/>
      <c r="C13" s="103" t="inlineStr">
        <is>
          <t>200385312837</t>
        </is>
      </c>
      <c r="D13" s="103" t="inlineStr">
        <is>
          <t>0766807309</t>
        </is>
      </c>
      <c r="E13" s="103" t="inlineStr">
        <is>
          <t>onethrajanu2003@gmail.com</t>
        </is>
      </c>
    </row>
    <row r="14">
      <c r="A14" s="103" t="inlineStr">
        <is>
          <t>Tharaka Hashan Thilakarathne</t>
        </is>
      </c>
      <c r="B14" s="103" t="n"/>
      <c r="C14" s="103" t="inlineStr">
        <is>
          <t>200305300832</t>
        </is>
      </c>
      <c r="D14" s="103" t="inlineStr">
        <is>
          <t>0728350607</t>
        </is>
      </c>
      <c r="E14" s="103" t="inlineStr">
        <is>
          <t>thilakarathneskth@gmail.com</t>
        </is>
      </c>
    </row>
    <row r="15">
      <c r="A15" s="103" t="inlineStr">
        <is>
          <t>Weerasinghe N.A.W.R.N.W</t>
        </is>
      </c>
      <c r="B15" s="103" t="n"/>
      <c r="C15" s="103" t="inlineStr">
        <is>
          <t>200477805087</t>
        </is>
      </c>
      <c r="D15" s="103" t="inlineStr">
        <is>
          <t>0727250101</t>
        </is>
      </c>
      <c r="E15" s="103" t="inlineStr">
        <is>
          <t>it24103687@my.sliit.lk</t>
        </is>
      </c>
    </row>
    <row r="16">
      <c r="A16" s="103" t="inlineStr">
        <is>
          <t>Kaveesha Rajapaksha</t>
        </is>
      </c>
      <c r="B16" s="103" t="n"/>
      <c r="C16" s="103" t="inlineStr">
        <is>
          <t>200373311960</t>
        </is>
      </c>
      <c r="D16" s="103" t="inlineStr">
        <is>
          <t>0768014423</t>
        </is>
      </c>
      <c r="E16" s="103" t="inlineStr">
        <is>
          <t>kaveesharajapaksha77@gmail.com</t>
        </is>
      </c>
    </row>
    <row r="17">
      <c r="A17" s="103" t="inlineStr">
        <is>
          <t>Yehani Nethmini Jayasuriya</t>
        </is>
      </c>
      <c r="B17" s="103" t="n"/>
      <c r="C17" s="103" t="inlineStr">
        <is>
          <t>200473802594</t>
        </is>
      </c>
      <c r="D17" s="103" t="inlineStr">
        <is>
          <t>0704093176</t>
        </is>
      </c>
      <c r="E17" s="103" t="inlineStr">
        <is>
          <t>yehaninethmini92@gmail.com</t>
        </is>
      </c>
    </row>
    <row r="18">
      <c r="A18" s="103" t="inlineStr">
        <is>
          <t>Kavindu Udhara</t>
        </is>
      </c>
      <c r="B18" s="103" t="n"/>
      <c r="C18" s="103" t="inlineStr">
        <is>
          <t>200603103194</t>
        </is>
      </c>
      <c r="D18" s="103" t="inlineStr">
        <is>
          <t>0714282933</t>
        </is>
      </c>
      <c r="E18" s="103" t="inlineStr">
        <is>
          <t>wmkavinduudhara@gmail.com</t>
        </is>
      </c>
    </row>
    <row r="19">
      <c r="A19" s="103" t="inlineStr">
        <is>
          <t>Jayashan Manodya</t>
        </is>
      </c>
      <c r="B19" s="103" t="n"/>
      <c r="C19" s="103" t="inlineStr">
        <is>
          <t>200305901262</t>
        </is>
      </c>
      <c r="D19" s="103" t="inlineStr">
        <is>
          <t>0764479058</t>
        </is>
      </c>
      <c r="E19" s="103" t="inlineStr">
        <is>
          <t>kpjmp28@gmail.com</t>
        </is>
      </c>
    </row>
    <row r="20">
      <c r="A20" s="103" t="inlineStr">
        <is>
          <t>Mohamed Liyafutheen Faij Ahamed</t>
        </is>
      </c>
      <c r="B20" s="103" t="n"/>
      <c r="C20" s="103" t="inlineStr">
        <is>
          <t>200527401462</t>
        </is>
      </c>
      <c r="D20" s="103" t="inlineStr">
        <is>
          <t>0754854596</t>
        </is>
      </c>
      <c r="E20" s="103" t="inlineStr">
        <is>
          <t>faijgroups@gmail.com</t>
        </is>
      </c>
    </row>
    <row r="21">
      <c r="A21" s="103" t="inlineStr">
        <is>
          <t>G. Shazmina Oudeen</t>
        </is>
      </c>
      <c r="B21" s="103" t="n"/>
      <c r="C21" s="103" t="inlineStr">
        <is>
          <t>200554204328</t>
        </is>
      </c>
      <c r="D21" s="103" t="inlineStr">
        <is>
          <t>0757119305</t>
        </is>
      </c>
      <c r="E21" s="103" t="inlineStr">
        <is>
          <t>shxminaoud@gmail.com</t>
        </is>
      </c>
    </row>
    <row r="22">
      <c r="A22" s="103" t="inlineStr">
        <is>
          <t>Kaviyashini Visvalingam</t>
        </is>
      </c>
      <c r="B22" s="103" t="n"/>
      <c r="C22" s="103" t="inlineStr">
        <is>
          <t>200584104242</t>
        </is>
      </c>
      <c r="D22" s="103" t="inlineStr">
        <is>
          <t>0740114991</t>
        </is>
      </c>
      <c r="E22" s="103" t="inlineStr">
        <is>
          <t>kavi2005yashini@gmail.com</t>
        </is>
      </c>
    </row>
    <row r="23">
      <c r="A23" s="103" t="inlineStr">
        <is>
          <t>Dinadi Sawanya Kodagoda</t>
        </is>
      </c>
      <c r="B23" s="103" t="n"/>
      <c r="C23" s="103" t="inlineStr">
        <is>
          <t>200463400766</t>
        </is>
      </c>
      <c r="D23" s="103" t="inlineStr">
        <is>
          <t>0702330851</t>
        </is>
      </c>
      <c r="E23" s="103" t="inlineStr">
        <is>
          <t>sawanya@gmail.com</t>
        </is>
      </c>
    </row>
    <row r="24">
      <c r="A24" s="103" t="inlineStr">
        <is>
          <t>Daham Jayakody</t>
        </is>
      </c>
      <c r="B24" s="103" t="n"/>
      <c r="C24" s="103" t="inlineStr">
        <is>
          <t>200210200490</t>
        </is>
      </c>
      <c r="D24" s="103" t="inlineStr">
        <is>
          <t>0715305954</t>
        </is>
      </c>
      <c r="E24" s="103" t="inlineStr">
        <is>
          <t>dahamjayakodyy@gmail.com</t>
        </is>
      </c>
    </row>
    <row r="25">
      <c r="A25" s="103" t="inlineStr">
        <is>
          <t>Rumana Azmi</t>
        </is>
      </c>
      <c r="B25" s="103" t="n"/>
      <c r="C25" s="103" t="inlineStr">
        <is>
          <t>200359611125</t>
        </is>
      </c>
      <c r="D25" s="103" t="inlineStr">
        <is>
          <t>0715946052</t>
        </is>
      </c>
      <c r="E25" s="103" t="inlineStr">
        <is>
          <t>rum4na.azmi@gmail.com</t>
        </is>
      </c>
    </row>
    <row r="26">
      <c r="A26" s="103" t="inlineStr">
        <is>
          <t>Shafkhan Mohammed</t>
        </is>
      </c>
      <c r="B26" s="103" t="n"/>
      <c r="C26" s="103" t="inlineStr">
        <is>
          <t>200432000262</t>
        </is>
      </c>
      <c r="D26" s="103" t="inlineStr">
        <is>
          <t>0764505146</t>
        </is>
      </c>
      <c r="E26" s="103" t="inlineStr">
        <is>
          <t>shafkhandssc15@gmail.com</t>
        </is>
      </c>
    </row>
    <row r="27">
      <c r="A27" s="103" t="inlineStr">
        <is>
          <t>Dulithma Heiyanthuduwa</t>
        </is>
      </c>
      <c r="B27" s="103" t="n"/>
      <c r="C27" s="103" t="inlineStr">
        <is>
          <t>200482703063</t>
        </is>
      </c>
      <c r="D27" s="103" t="inlineStr">
        <is>
          <t>0718846865</t>
        </is>
      </c>
      <c r="E27" s="103" t="inlineStr">
        <is>
          <t>hdulithma@gmail.com</t>
        </is>
      </c>
    </row>
    <row r="28">
      <c r="A28" s="103" t="inlineStr">
        <is>
          <t>Savini Kommalage</t>
        </is>
      </c>
      <c r="B28" s="103" t="n"/>
      <c r="C28" s="103" t="inlineStr">
        <is>
          <t>200465903508</t>
        </is>
      </c>
      <c r="D28" s="103" t="inlineStr">
        <is>
          <t>0765723317</t>
        </is>
      </c>
      <c r="E28" s="103" t="inlineStr">
        <is>
          <t>githarakommalage@gmail.com</t>
        </is>
      </c>
    </row>
    <row r="29">
      <c r="A29" s="103" t="inlineStr">
        <is>
          <t>Akini Panapitiya</t>
        </is>
      </c>
      <c r="B29" s="103" t="n"/>
      <c r="C29" s="103" t="inlineStr">
        <is>
          <t>200377200262</t>
        </is>
      </c>
      <c r="D29" s="103" t="inlineStr">
        <is>
          <t>0703450059</t>
        </is>
      </c>
      <c r="E29" s="103" t="inlineStr">
        <is>
          <t>panapitiyaakini@gmail.com</t>
        </is>
      </c>
    </row>
    <row r="30">
      <c r="A30" s="103" t="inlineStr">
        <is>
          <t>Sanjeevsaran Jeyanthan</t>
        </is>
      </c>
      <c r="B30" s="103" t="n"/>
      <c r="C30" s="103" t="inlineStr">
        <is>
          <t>200315410842</t>
        </is>
      </c>
      <c r="D30" s="103" t="inlineStr">
        <is>
          <t>0768976838</t>
        </is>
      </c>
      <c r="E30" s="103" t="inlineStr">
        <is>
          <t>jeyanthansaran@gmail.com</t>
        </is>
      </c>
    </row>
    <row r="31">
      <c r="A31" s="103" t="inlineStr">
        <is>
          <t>Gimhani Perera</t>
        </is>
      </c>
      <c r="B31" s="103" t="n"/>
      <c r="C31" s="103" t="inlineStr">
        <is>
          <t>200471402232</t>
        </is>
      </c>
      <c r="D31" s="103" t="inlineStr">
        <is>
          <t>0723033233</t>
        </is>
      </c>
      <c r="E31" s="103" t="inlineStr">
        <is>
          <t>gimhaninawodya801@gmail.com</t>
        </is>
      </c>
    </row>
    <row r="32">
      <c r="A32" s="103" t="inlineStr">
        <is>
          <t>Vaanushan V</t>
        </is>
      </c>
      <c r="B32" s="103" t="n"/>
      <c r="C32" s="103" t="inlineStr">
        <is>
          <t>200526801753</t>
        </is>
      </c>
      <c r="D32" s="103" t="inlineStr">
        <is>
          <t>0765384010</t>
        </is>
      </c>
      <c r="E32" s="103" t="inlineStr">
        <is>
          <t>vaanushanv06@gmail.com</t>
        </is>
      </c>
    </row>
    <row r="33">
      <c r="A33" s="103" t="inlineStr">
        <is>
          <t>Asven</t>
        </is>
      </c>
      <c r="B33" s="103" t="n"/>
      <c r="C33" s="103" t="inlineStr">
        <is>
          <t>200523900961</t>
        </is>
      </c>
      <c r="D33" s="103" t="inlineStr">
        <is>
          <t>0766514423</t>
        </is>
      </c>
      <c r="E33" s="103" t="inlineStr">
        <is>
          <t>ashwinsharmaroc@gmail.com</t>
        </is>
      </c>
    </row>
    <row r="34">
      <c r="A34" s="103" t="inlineStr">
        <is>
          <t>Abdur Rahman Zaheem</t>
        </is>
      </c>
      <c r="B34" s="103" t="n"/>
      <c r="C34" s="103" t="inlineStr">
        <is>
          <t>200409114658</t>
        </is>
      </c>
      <c r="D34" s="103" t="inlineStr">
        <is>
          <t>0727395823</t>
        </is>
      </c>
      <c r="E34" s="103" t="inlineStr">
        <is>
          <t>ar186870@gmail.com</t>
        </is>
      </c>
    </row>
    <row r="35">
      <c r="A35" s="103" t="inlineStr">
        <is>
          <t>Yeshan K P</t>
        </is>
      </c>
      <c r="B35" s="103" t="n"/>
      <c r="C35" s="103" t="inlineStr">
        <is>
          <t>200415600679</t>
        </is>
      </c>
      <c r="D35" s="103" t="inlineStr">
        <is>
          <t>0766035565</t>
        </is>
      </c>
      <c r="E35" s="103" t="inlineStr">
        <is>
          <t>online.yeshankp@gmail.com</t>
        </is>
      </c>
    </row>
    <row r="36">
      <c r="A36" s="103" t="inlineStr">
        <is>
          <t>Shazna Muees</t>
        </is>
      </c>
      <c r="B36" s="103" t="n"/>
      <c r="C36" s="103" t="inlineStr">
        <is>
          <t>200180200837</t>
        </is>
      </c>
      <c r="D36" s="103" t="inlineStr">
        <is>
          <t>0754460369</t>
        </is>
      </c>
      <c r="E36" s="103" t="inlineStr">
        <is>
          <t>shazna.muees1@gmail.com</t>
        </is>
      </c>
    </row>
    <row r="37">
      <c r="A37" s="103" t="inlineStr">
        <is>
          <t>Chanjugaa Rasamohan</t>
        </is>
      </c>
      <c r="B37" s="103" t="n"/>
      <c r="C37" s="103" t="inlineStr">
        <is>
          <t>200386612676</t>
        </is>
      </c>
      <c r="D37" s="103" t="inlineStr">
        <is>
          <t>0740194571</t>
        </is>
      </c>
      <c r="E37" s="103" t="inlineStr">
        <is>
          <t>chanjumohan583@gmail.com</t>
        </is>
      </c>
    </row>
    <row r="38">
      <c r="A38" s="103" t="inlineStr">
        <is>
          <t>Sumudu Mudunayana</t>
        </is>
      </c>
      <c r="B38" s="103" t="n"/>
      <c r="C38" s="103" t="inlineStr">
        <is>
          <t>200335010660</t>
        </is>
      </c>
      <c r="D38" s="103" t="inlineStr">
        <is>
          <t>0761888026</t>
        </is>
      </c>
      <c r="E38" s="103" t="inlineStr">
        <is>
          <t>mudunayanamihigurathna@gmail.com</t>
        </is>
      </c>
    </row>
    <row r="39">
      <c r="A39" s="103" t="inlineStr">
        <is>
          <t>Nethmi Weherawatta</t>
        </is>
      </c>
      <c r="B39" s="103" t="n"/>
      <c r="C39" s="103" t="inlineStr">
        <is>
          <t>200268502914</t>
        </is>
      </c>
      <c r="D39" s="103" t="inlineStr">
        <is>
          <t>0702644651</t>
        </is>
      </c>
      <c r="E39" s="103" t="inlineStr">
        <is>
          <t>nethmin703@gmail.com</t>
        </is>
      </c>
    </row>
    <row r="40">
      <c r="A40" s="103" t="inlineStr">
        <is>
          <t>Thavisha Dewmith</t>
        </is>
      </c>
      <c r="B40" s="103" t="n"/>
      <c r="C40" s="103" t="inlineStr">
        <is>
          <t>200435001769</t>
        </is>
      </c>
      <c r="D40" s="103" t="inlineStr">
        <is>
          <t>0716293391</t>
        </is>
      </c>
      <c r="E40" s="103" t="inlineStr">
        <is>
          <t>thavishawimalarathne7@gmail.com</t>
        </is>
      </c>
    </row>
    <row r="41">
      <c r="A41" s="103" t="inlineStr">
        <is>
          <t>Anbuchselvan Sharvessh Ala.</t>
        </is>
      </c>
      <c r="B41" s="103" t="n"/>
      <c r="C41" s="103" t="inlineStr">
        <is>
          <t>200504203358</t>
        </is>
      </c>
      <c r="D41" s="103" t="inlineStr">
        <is>
          <t>0771432469</t>
        </is>
      </c>
      <c r="E41" s="103" t="inlineStr">
        <is>
          <t>it25103183@my.sliit.lk</t>
        </is>
      </c>
    </row>
    <row r="42">
      <c r="A42" s="103" t="inlineStr">
        <is>
          <t>Nipun Kuruvitage</t>
        </is>
      </c>
      <c r="B42" s="103" t="n"/>
      <c r="C42" s="103" t="inlineStr">
        <is>
          <t>200231102812</t>
        </is>
      </c>
      <c r="D42" s="103" t="inlineStr">
        <is>
          <t>0770794058</t>
        </is>
      </c>
      <c r="E42" s="103" t="inlineStr">
        <is>
          <t>nipundthilanka2246@gmail.com</t>
        </is>
      </c>
    </row>
    <row r="43">
      <c r="A43" s="103" t="inlineStr">
        <is>
          <t>Dulni Geha</t>
        </is>
      </c>
      <c r="B43" s="103" t="n"/>
      <c r="C43" s="103" t="inlineStr">
        <is>
          <t>200563201476</t>
        </is>
      </c>
      <c r="D43" s="103" t="inlineStr">
        <is>
          <t>0704306547</t>
        </is>
      </c>
      <c r="E43" s="103" t="inlineStr">
        <is>
          <t>dulni3s@gmail.com</t>
        </is>
      </c>
    </row>
    <row r="44">
      <c r="A44" s="103" t="inlineStr">
        <is>
          <t>Mihijith Panagoda</t>
        </is>
      </c>
      <c r="B44" s="103" t="n"/>
      <c r="C44" s="103" t="inlineStr">
        <is>
          <t>20032571134</t>
        </is>
      </c>
      <c r="D44" s="103" t="inlineStr">
        <is>
          <t>0778647669</t>
        </is>
      </c>
      <c r="E44" s="103" t="inlineStr">
        <is>
          <t>mihijith.panagoda@gmail.com</t>
        </is>
      </c>
    </row>
    <row r="45">
      <c r="A45" s="103" t="inlineStr">
        <is>
          <t>Chathuni Lelwala</t>
        </is>
      </c>
      <c r="B45" s="103" t="n"/>
      <c r="C45" s="103" t="inlineStr">
        <is>
          <t>200176701370</t>
        </is>
      </c>
      <c r="D45" s="103" t="inlineStr">
        <is>
          <t>0719174257</t>
        </is>
      </c>
      <c r="E45" s="103" t="inlineStr">
        <is>
          <t>chathuniyasassri@gmail.com</t>
        </is>
      </c>
    </row>
    <row r="46">
      <c r="A46" s="103" t="inlineStr">
        <is>
          <t>Tharindu Wijerathna</t>
        </is>
      </c>
      <c r="B46" s="103" t="n"/>
      <c r="C46" s="103" t="inlineStr">
        <is>
          <t>200420803939</t>
        </is>
      </c>
      <c r="D46" s="103" t="inlineStr">
        <is>
          <t>0740976916</t>
        </is>
      </c>
      <c r="E46" s="103" t="inlineStr">
        <is>
          <t>wijerathna.dev.2004@gmail.com</t>
        </is>
      </c>
    </row>
    <row r="47">
      <c r="A47" s="103" t="inlineStr">
        <is>
          <t>Sisina Gunasekara</t>
        </is>
      </c>
      <c r="B47" s="103" t="n"/>
      <c r="C47" s="103" t="inlineStr">
        <is>
          <t>200509301019</t>
        </is>
      </c>
      <c r="D47" s="103" t="inlineStr">
        <is>
          <t>0756318740</t>
        </is>
      </c>
      <c r="E47" s="103" t="inlineStr">
        <is>
          <t>sisinagunasekara@gmail.com</t>
        </is>
      </c>
    </row>
    <row r="48">
      <c r="A48" s="103" t="inlineStr">
        <is>
          <t>Dihini Galappaththi</t>
        </is>
      </c>
      <c r="B48" s="103" t="n"/>
      <c r="C48" s="103" t="inlineStr">
        <is>
          <t>200357510078</t>
        </is>
      </c>
      <c r="D48" s="103" t="inlineStr">
        <is>
          <t>0702101128</t>
        </is>
      </c>
      <c r="E48" s="103" t="inlineStr">
        <is>
          <t>dgalappaththi.20@gmail.com</t>
        </is>
      </c>
    </row>
    <row r="49">
      <c r="A49" s="103" t="inlineStr">
        <is>
          <t>Achin Chandrasiri</t>
        </is>
      </c>
      <c r="B49" s="103" t="n"/>
      <c r="C49" s="103" t="inlineStr">
        <is>
          <t>200418402380</t>
        </is>
      </c>
      <c r="D49" s="103" t="inlineStr">
        <is>
          <t>0714020860</t>
        </is>
      </c>
      <c r="E49" s="103" t="inlineStr">
        <is>
          <t>achinchandrasiri@gmail.com</t>
        </is>
      </c>
    </row>
    <row r="50">
      <c r="A50" s="103" t="inlineStr">
        <is>
          <t>Kahil Cuttilan</t>
        </is>
      </c>
      <c r="B50" s="103" t="n"/>
      <c r="C50" s="103" t="inlineStr">
        <is>
          <t>200635603949</t>
        </is>
      </c>
      <c r="D50" s="103" t="inlineStr">
        <is>
          <t>0768448498</t>
        </is>
      </c>
      <c r="E50" s="103" t="inlineStr">
        <is>
          <t>kahilzaman@gmail.com</t>
        </is>
      </c>
    </row>
    <row r="51">
      <c r="A51" s="103" t="inlineStr">
        <is>
          <t>Amani Jaufer</t>
        </is>
      </c>
      <c r="B51" s="103" t="n"/>
      <c r="C51" s="103" t="inlineStr">
        <is>
          <t>200368811176</t>
        </is>
      </c>
      <c r="D51" s="103" t="inlineStr">
        <is>
          <t>0743183632</t>
        </is>
      </c>
      <c r="E51" s="103" t="inlineStr">
        <is>
          <t>amanijfofficial@gmail.com</t>
        </is>
      </c>
    </row>
  </sheetData>
  <autoFilter ref="$A$1:$E$51"/>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B3" sqref="B3"/>
    </sheetView>
  </sheetViews>
  <sheetFormatPr baseColWidth="8" defaultColWidth="14.43" defaultRowHeight="15.75" customHeight="1"/>
  <cols>
    <col width="26" customWidth="1" style="108" min="1" max="1"/>
    <col width="18" customWidth="1" style="108" min="2" max="2"/>
    <col width="16" customWidth="1" style="108" min="3" max="3"/>
    <col width="15" customWidth="1" style="108" min="4" max="4"/>
    <col width="30" customWidth="1" style="108" min="5" max="5"/>
    <col width="8.710000000000001" customWidth="1" style="108" min="6" max="26"/>
  </cols>
  <sheetData>
    <row r="1">
      <c r="A1" s="102" t="inlineStr">
        <is>
          <t>Full Name</t>
        </is>
      </c>
      <c r="B1" s="102" t="inlineStr">
        <is>
          <t>IEEE Membership No</t>
        </is>
      </c>
      <c r="C1" s="102" t="inlineStr">
        <is>
          <t>NIC</t>
        </is>
      </c>
      <c r="D1" s="102" t="inlineStr">
        <is>
          <t>Phone Number</t>
        </is>
      </c>
      <c r="E1" s="102" t="inlineStr">
        <is>
          <t>Email Address</t>
        </is>
      </c>
    </row>
    <row r="2">
      <c r="A2" s="103" t="inlineStr">
        <is>
          <t>Tharindu Wijerathna</t>
        </is>
      </c>
      <c r="B2" s="103" t="inlineStr">
        <is>
          <t>102461187</t>
        </is>
      </c>
      <c r="C2" s="103" t="inlineStr">
        <is>
          <t>200420803939</t>
        </is>
      </c>
      <c r="D2" s="103" t="inlineStr">
        <is>
          <t>0740976916</t>
        </is>
      </c>
      <c r="E2" s="103" t="inlineStr">
        <is>
          <t>wijerathna.dev.2004@gmail.com</t>
        </is>
      </c>
    </row>
    <row r="3">
      <c r="A3" s="103" t="inlineStr">
        <is>
          <t>Navida Manawadu</t>
        </is>
      </c>
      <c r="B3" s="103" t="n"/>
      <c r="C3" s="103" t="inlineStr">
        <is>
          <t>200419100378</t>
        </is>
      </c>
      <c r="D3" s="103" t="inlineStr">
        <is>
          <t>0705805305</t>
        </is>
      </c>
      <c r="E3" s="103" t="inlineStr">
        <is>
          <t>navidamanawadu12@gmail.com</t>
        </is>
      </c>
    </row>
    <row r="4">
      <c r="A4" s="103" t="inlineStr">
        <is>
          <t>Kaviyashini Visvalingam</t>
        </is>
      </c>
      <c r="B4" s="103" t="inlineStr">
        <is>
          <t>101618416</t>
        </is>
      </c>
      <c r="C4" s="103" t="inlineStr">
        <is>
          <t>200584104242</t>
        </is>
      </c>
      <c r="D4" s="103" t="inlineStr">
        <is>
          <t>0740114991</t>
        </is>
      </c>
      <c r="E4" s="103" t="inlineStr">
        <is>
          <t>kavi2005yashini@gmail.com</t>
        </is>
      </c>
    </row>
    <row r="5">
      <c r="A5" s="103" t="inlineStr">
        <is>
          <t>Shageeshan Thamodharam</t>
        </is>
      </c>
      <c r="B5" s="103" t="inlineStr">
        <is>
          <t>100804391</t>
        </is>
      </c>
      <c r="C5" s="103" t="inlineStr">
        <is>
          <t>200423302190</t>
        </is>
      </c>
      <c r="D5" s="103" t="inlineStr">
        <is>
          <t>0771089061</t>
        </is>
      </c>
      <c r="E5" s="103" t="inlineStr">
        <is>
          <t>shageejoxtyn@gmail.com</t>
        </is>
      </c>
    </row>
    <row r="6">
      <c r="A6" s="103" t="inlineStr">
        <is>
          <t>Shazmina Oudeen</t>
        </is>
      </c>
      <c r="B6" s="103" t="n"/>
      <c r="C6" s="103" t="inlineStr">
        <is>
          <t>200554204328</t>
        </is>
      </c>
      <c r="D6" s="103" t="inlineStr">
        <is>
          <t>0757119305</t>
        </is>
      </c>
      <c r="E6" s="103" t="inlineStr">
        <is>
          <t>shxminaoud@gmail.com</t>
        </is>
      </c>
    </row>
    <row r="7">
      <c r="A7" s="103" t="inlineStr">
        <is>
          <t>Lasindu Mihisara</t>
        </is>
      </c>
      <c r="B7" s="103" t="n"/>
      <c r="C7" s="103" t="inlineStr">
        <is>
          <t>200235103264</t>
        </is>
      </c>
      <c r="D7" s="103" t="inlineStr">
        <is>
          <t>0761237116</t>
        </is>
      </c>
      <c r="E7" s="103" t="inlineStr">
        <is>
          <t>mihisaralasindu45@gmail.com</t>
        </is>
      </c>
    </row>
    <row r="8">
      <c r="A8" s="103" t="inlineStr">
        <is>
          <t>Sanjana Gurusinghe</t>
        </is>
      </c>
      <c r="B8" s="103" t="n"/>
      <c r="C8" s="103" t="inlineStr">
        <is>
          <t>200424300280</t>
        </is>
      </c>
      <c r="D8" s="103" t="inlineStr">
        <is>
          <t>0714379981</t>
        </is>
      </c>
      <c r="E8" s="103" t="inlineStr">
        <is>
          <t>en25300524@my.sliit.lk</t>
        </is>
      </c>
    </row>
    <row r="9">
      <c r="A9" s="103" t="inlineStr">
        <is>
          <t>Kaveesha Anujith</t>
        </is>
      </c>
      <c r="B9" s="103" t="inlineStr">
        <is>
          <t>102543802</t>
        </is>
      </c>
      <c r="C9" s="103" t="inlineStr">
        <is>
          <t>200400611450</t>
        </is>
      </c>
      <c r="D9" s="103" t="inlineStr">
        <is>
          <t>0781646772</t>
        </is>
      </c>
      <c r="E9" s="103" t="inlineStr">
        <is>
          <t>tgkanujith@gmail.com</t>
        </is>
      </c>
    </row>
    <row r="10">
      <c r="A10" s="103" t="inlineStr">
        <is>
          <t>Minod Banda</t>
        </is>
      </c>
      <c r="B10" s="103" t="n"/>
      <c r="C10" s="103" t="inlineStr">
        <is>
          <t>200335800113</t>
        </is>
      </c>
      <c r="D10" s="103" t="inlineStr">
        <is>
          <t>0762346023</t>
        </is>
      </c>
      <c r="E10" s="103" t="inlineStr">
        <is>
          <t>minodherath@gmail.com</t>
        </is>
      </c>
    </row>
    <row r="11">
      <c r="A11" s="103" t="inlineStr">
        <is>
          <t>Methul Kenula</t>
        </is>
      </c>
      <c r="B11" s="103" t="n"/>
      <c r="C11" s="103" t="inlineStr">
        <is>
          <t>200515203003</t>
        </is>
      </c>
      <c r="D11" s="103" t="inlineStr">
        <is>
          <t>0740174408</t>
        </is>
      </c>
      <c r="E11" s="103" t="inlineStr">
        <is>
          <t>methulkenulav@gmail.com</t>
        </is>
      </c>
    </row>
    <row r="12">
      <c r="A12" s="103" t="inlineStr">
        <is>
          <t>Dulitha Shakya</t>
        </is>
      </c>
      <c r="B12" s="103" t="n"/>
      <c r="C12" s="103" t="inlineStr">
        <is>
          <t>200328312553</t>
        </is>
      </c>
      <c r="D12" s="103" t="inlineStr">
        <is>
          <t>0702313512</t>
        </is>
      </c>
      <c r="E12" s="103" t="inlineStr">
        <is>
          <t>dulithashakya@gmail.com</t>
        </is>
      </c>
    </row>
    <row r="13">
      <c r="A13" s="103" t="inlineStr">
        <is>
          <t>Chrismal Ranasinghe</t>
        </is>
      </c>
      <c r="B13" s="103" t="n"/>
      <c r="C13" s="103" t="inlineStr">
        <is>
          <t>200606603039</t>
        </is>
      </c>
      <c r="D13" s="103" t="inlineStr">
        <is>
          <t>0765648097</t>
        </is>
      </c>
      <c r="E13" s="103" t="inlineStr">
        <is>
          <t>chrismalranasinghe2006@gmail.com</t>
        </is>
      </c>
    </row>
    <row r="14">
      <c r="A14" s="103" t="inlineStr">
        <is>
          <t>Vishwa Kumararathna</t>
        </is>
      </c>
      <c r="B14" s="103" t="inlineStr">
        <is>
          <t>102623563</t>
        </is>
      </c>
      <c r="C14" s="103" t="inlineStr">
        <is>
          <t>200235002610</t>
        </is>
      </c>
      <c r="D14" s="103" t="inlineStr">
        <is>
          <t>0773532641</t>
        </is>
      </c>
      <c r="E14" s="103" t="inlineStr">
        <is>
          <t>vbkumararathna20@gmail.com</t>
        </is>
      </c>
    </row>
    <row r="15">
      <c r="A15" s="103" t="inlineStr">
        <is>
          <t>Shanuk Silva</t>
        </is>
      </c>
      <c r="B15" s="103" t="inlineStr">
        <is>
          <t>102576393</t>
        </is>
      </c>
      <c r="C15" s="103" t="inlineStr">
        <is>
          <t>200419001212</t>
        </is>
      </c>
      <c r="D15" s="103" t="inlineStr">
        <is>
          <t>0765596356</t>
        </is>
      </c>
      <c r="E15" s="103" t="inlineStr">
        <is>
          <t>shanuk.silva50@gmail.com</t>
        </is>
      </c>
    </row>
    <row r="16">
      <c r="A16" s="103" t="inlineStr">
        <is>
          <t>Yumal Lakmitha</t>
        </is>
      </c>
      <c r="B16" s="103" t="inlineStr">
        <is>
          <t>102237850</t>
        </is>
      </c>
      <c r="C16" s="103" t="inlineStr">
        <is>
          <t>200528301178</t>
        </is>
      </c>
      <c r="D16" s="103" t="inlineStr">
        <is>
          <t>0779358820</t>
        </is>
      </c>
      <c r="E16" s="103" t="inlineStr">
        <is>
          <t>yumallakmitha@gmail.com</t>
        </is>
      </c>
    </row>
    <row r="17">
      <c r="A17" s="103" t="inlineStr">
        <is>
          <t>Sahan Nethumina</t>
        </is>
      </c>
      <c r="B17" s="103" t="inlineStr">
        <is>
          <t>102544409</t>
        </is>
      </c>
      <c r="C17" s="103" t="inlineStr">
        <is>
          <t>200319913103</t>
        </is>
      </c>
      <c r="D17" s="103" t="inlineStr">
        <is>
          <t>0717246685</t>
        </is>
      </c>
      <c r="E17" s="103" t="inlineStr">
        <is>
          <t>sahannethumina2020@gmail.com</t>
        </is>
      </c>
    </row>
    <row r="18">
      <c r="A18" s="103" t="inlineStr">
        <is>
          <t>Ashan Induranga</t>
        </is>
      </c>
      <c r="B18" s="103" t="inlineStr">
        <is>
          <t>102543892</t>
        </is>
      </c>
      <c r="C18" s="103" t="inlineStr">
        <is>
          <t>200405812728</t>
        </is>
      </c>
      <c r="D18" s="103" t="inlineStr">
        <is>
          <t>0771950818</t>
        </is>
      </c>
      <c r="E18" s="103" t="inlineStr">
        <is>
          <t>ashanvfx@gmail.com</t>
        </is>
      </c>
    </row>
    <row r="19">
      <c r="A19" s="103" t="inlineStr">
        <is>
          <t>Nethaka Siriwardena</t>
        </is>
      </c>
      <c r="B19" s="103" t="inlineStr">
        <is>
          <t>101573952</t>
        </is>
      </c>
      <c r="C19" s="103" t="inlineStr">
        <is>
          <t>200332400312</t>
        </is>
      </c>
      <c r="D19" s="103" t="inlineStr">
        <is>
          <t>0777567090</t>
        </is>
      </c>
      <c r="E19" s="103" t="inlineStr">
        <is>
          <t>nethakasiriwardena@gmail.com</t>
        </is>
      </c>
    </row>
    <row r="20">
      <c r="A20" s="103" t="inlineStr">
        <is>
          <t>Laksri Senura</t>
        </is>
      </c>
      <c r="B20" s="103" t="n"/>
      <c r="C20" s="103" t="inlineStr">
        <is>
          <t>200515501368</t>
        </is>
      </c>
      <c r="D20" s="103" t="inlineStr">
        <is>
          <t>0770157283</t>
        </is>
      </c>
      <c r="E20" s="103" t="inlineStr">
        <is>
          <t>laksrisenura@gmail.com</t>
        </is>
      </c>
    </row>
    <row r="21">
      <c r="A21" s="103" t="inlineStr">
        <is>
          <t>Tinuli Perera</t>
        </is>
      </c>
      <c r="B21" s="103" t="n"/>
      <c r="C21" s="103" t="inlineStr">
        <is>
          <t>200582001451</t>
        </is>
      </c>
      <c r="D21" s="103" t="inlineStr">
        <is>
          <t>0779886722</t>
        </is>
      </c>
      <c r="E21" s="103" t="inlineStr">
        <is>
          <t>pereratinuli2005@gmail.com</t>
        </is>
      </c>
    </row>
    <row r="22">
      <c r="A22" s="103" t="inlineStr">
        <is>
          <t>Thisasni Iddamalgoda</t>
        </is>
      </c>
      <c r="B22" s="103" t="n"/>
      <c r="C22" s="103" t="inlineStr">
        <is>
          <t>200573400300</t>
        </is>
      </c>
      <c r="D22" s="103" t="inlineStr">
        <is>
          <t>0702479016</t>
        </is>
      </c>
      <c r="E22" s="103" t="inlineStr">
        <is>
          <t>tdiddamalgoda@gmail.com</t>
        </is>
      </c>
    </row>
    <row r="23">
      <c r="A23" s="103" t="inlineStr">
        <is>
          <t>Malmi Gunathilaka</t>
        </is>
      </c>
      <c r="B23" s="103" t="n"/>
      <c r="C23" s="103" t="inlineStr">
        <is>
          <t>200573302820</t>
        </is>
      </c>
      <c r="D23" s="103" t="inlineStr">
        <is>
          <t>0719026847</t>
        </is>
      </c>
      <c r="E23" s="103" t="inlineStr">
        <is>
          <t>en25300046@my.sliit.lk</t>
        </is>
      </c>
    </row>
    <row r="24">
      <c r="A24" s="103" t="inlineStr">
        <is>
          <t>Arosha Malith</t>
        </is>
      </c>
      <c r="B24" s="103" t="n"/>
      <c r="C24" s="103" t="inlineStr">
        <is>
          <t>200403711255</t>
        </is>
      </c>
      <c r="D24" s="103" t="inlineStr">
        <is>
          <t>0712674547</t>
        </is>
      </c>
      <c r="E24" s="103" t="inlineStr">
        <is>
          <t>en25300385@my.sliit.lk</t>
        </is>
      </c>
    </row>
    <row r="25">
      <c r="A25" s="103" t="inlineStr">
        <is>
          <t>Nethma Pahasarani</t>
        </is>
      </c>
      <c r="B25" s="103" t="n"/>
      <c r="C25" s="103" t="inlineStr">
        <is>
          <t>200581601727</t>
        </is>
      </c>
      <c r="D25" s="103" t="inlineStr">
        <is>
          <t>0774621600</t>
        </is>
      </c>
      <c r="E25" s="103" t="inlineStr">
        <is>
          <t>en25300312@my.sliit.lk</t>
        </is>
      </c>
    </row>
    <row r="26">
      <c r="A26" s="103" t="inlineStr">
        <is>
          <t>Thamindu Adhikari</t>
        </is>
      </c>
      <c r="B26" s="103" t="n"/>
      <c r="C26" s="103" t="inlineStr">
        <is>
          <t>200201101220</t>
        </is>
      </c>
      <c r="D26" s="103" t="inlineStr">
        <is>
          <t>0740775472</t>
        </is>
      </c>
      <c r="E26" s="103" t="inlineStr">
        <is>
          <t>thamindu7777adhikari@gmail.com</t>
        </is>
      </c>
    </row>
    <row r="27">
      <c r="A27" s="103" t="inlineStr">
        <is>
          <t>Gimindu Niwandana</t>
        </is>
      </c>
      <c r="B27" s="103" t="n"/>
      <c r="C27" s="103" t="inlineStr">
        <is>
          <t>200417503280</t>
        </is>
      </c>
      <c r="D27" s="103" t="inlineStr">
        <is>
          <t>0772018119</t>
        </is>
      </c>
      <c r="E27" s="103" t="inlineStr">
        <is>
          <t>en25510025@my.sliit.lk</t>
        </is>
      </c>
    </row>
    <row r="28">
      <c r="A28" s="103" t="inlineStr">
        <is>
          <t>Thevin Bandara</t>
        </is>
      </c>
      <c r="B28" s="103" t="inlineStr">
        <is>
          <t>102226575</t>
        </is>
      </c>
      <c r="C28" s="103" t="inlineStr">
        <is>
          <t>200524601982</t>
        </is>
      </c>
      <c r="D28" s="103" t="inlineStr">
        <is>
          <t>0702382181</t>
        </is>
      </c>
      <c r="E28" s="103" t="inlineStr">
        <is>
          <t>bandarakkgti@gmail.com</t>
        </is>
      </c>
    </row>
    <row r="29">
      <c r="A29" s="103" t="inlineStr">
        <is>
          <t>Pamanda Ashini</t>
        </is>
      </c>
      <c r="B29" s="103" t="n"/>
      <c r="C29" s="103" t="inlineStr">
        <is>
          <t>200483903948</t>
        </is>
      </c>
      <c r="D29" s="103" t="inlineStr">
        <is>
          <t>0787585060</t>
        </is>
      </c>
      <c r="E29" s="103" t="inlineStr">
        <is>
          <t>en25300364@my.sliit.lk</t>
        </is>
      </c>
    </row>
    <row r="30">
      <c r="A30" s="103" t="inlineStr">
        <is>
          <t>Dinuka Cooray</t>
        </is>
      </c>
      <c r="B30" s="103" t="n"/>
      <c r="C30" s="103" t="inlineStr">
        <is>
          <t>200325500253</t>
        </is>
      </c>
      <c r="D30" s="103" t="inlineStr">
        <is>
          <t>0786821618</t>
        </is>
      </c>
      <c r="E30" s="103" t="inlineStr">
        <is>
          <t>it25100414@gmail.com</t>
        </is>
      </c>
    </row>
    <row r="31">
      <c r="A31" s="103" t="inlineStr">
        <is>
          <t>Naduni Fernando</t>
        </is>
      </c>
      <c r="B31" s="103" t="inlineStr">
        <is>
          <t>102606871</t>
        </is>
      </c>
      <c r="C31" s="103" t="inlineStr">
        <is>
          <t>200557901851</t>
        </is>
      </c>
      <c r="D31" s="103" t="inlineStr">
        <is>
          <t>0763951401</t>
        </is>
      </c>
      <c r="E31" s="103" t="inlineStr">
        <is>
          <t>en25300067@my.sliit.lk</t>
        </is>
      </c>
    </row>
    <row r="32">
      <c r="A32" s="103" t="inlineStr">
        <is>
          <t>D.G.K Sansala</t>
        </is>
      </c>
      <c r="B32" s="103" t="n"/>
      <c r="C32" s="103" t="inlineStr">
        <is>
          <t>200428102329</t>
        </is>
      </c>
      <c r="D32" s="103" t="inlineStr">
        <is>
          <t>0703980535</t>
        </is>
      </c>
      <c r="E32" s="103" t="inlineStr">
        <is>
          <t>dgkaveeshasansala@gmail.com</t>
        </is>
      </c>
    </row>
    <row r="33">
      <c r="A33" s="103" t="inlineStr">
        <is>
          <t>Senithu Livisara</t>
        </is>
      </c>
      <c r="B33" s="103" t="inlineStr">
        <is>
          <t>102570873</t>
        </is>
      </c>
      <c r="C33" s="103" t="inlineStr">
        <is>
          <t>200501000443</t>
        </is>
      </c>
      <c r="D33" s="103" t="inlineStr">
        <is>
          <t>0721556684</t>
        </is>
      </c>
      <c r="E33" s="103" t="inlineStr">
        <is>
          <t>livisarasenithu902@gmail.com</t>
        </is>
      </c>
    </row>
    <row r="34">
      <c r="A34" s="103" t="inlineStr">
        <is>
          <t>Chathura Sandaruwan</t>
        </is>
      </c>
      <c r="B34" s="103" t="inlineStr">
        <is>
          <t>102544106</t>
        </is>
      </c>
      <c r="C34" s="103" t="inlineStr">
        <is>
          <t>200205102410</t>
        </is>
      </c>
      <c r="D34" s="103" t="inlineStr">
        <is>
          <t>0710720439</t>
        </is>
      </c>
      <c r="E34" s="103" t="inlineStr">
        <is>
          <t>en25300140@my.sliit.lk</t>
        </is>
      </c>
    </row>
    <row r="35">
      <c r="A35" s="103" t="inlineStr">
        <is>
          <t>Anaaya Ashik</t>
        </is>
      </c>
      <c r="B35" s="103" t="inlineStr">
        <is>
          <t>102621421</t>
        </is>
      </c>
      <c r="C35" s="103" t="inlineStr">
        <is>
          <t>200782805104</t>
        </is>
      </c>
      <c r="D35" s="103" t="inlineStr">
        <is>
          <t>0768584459</t>
        </is>
      </c>
      <c r="E35" s="103" t="inlineStr">
        <is>
          <t>ashik007mmm@gmail.com</t>
        </is>
      </c>
    </row>
    <row r="36">
      <c r="A36" s="103" t="inlineStr">
        <is>
          <t>Themini Obeysekara</t>
        </is>
      </c>
      <c r="B36" s="103" t="inlineStr">
        <is>
          <t>102417614</t>
        </is>
      </c>
      <c r="C36" s="103" t="inlineStr">
        <is>
          <t>200373900408</t>
        </is>
      </c>
      <c r="D36" s="103" t="inlineStr">
        <is>
          <t>0702677320</t>
        </is>
      </c>
      <c r="E36" s="103" t="inlineStr">
        <is>
          <t>theminipiyanma@gmail.com</t>
        </is>
      </c>
    </row>
    <row r="37">
      <c r="A37" s="103" t="inlineStr">
        <is>
          <t>Neluki Balasooriya</t>
        </is>
      </c>
      <c r="B37" s="103" t="inlineStr">
        <is>
          <t>102203470</t>
        </is>
      </c>
      <c r="C37" s="103" t="inlineStr">
        <is>
          <t>200575802192</t>
        </is>
      </c>
      <c r="D37" s="103" t="inlineStr">
        <is>
          <t>0755440008</t>
        </is>
      </c>
      <c r="E37" s="103" t="inlineStr">
        <is>
          <t>nelukibalasooriya@gmail.com</t>
        </is>
      </c>
    </row>
    <row r="38">
      <c r="A38" s="103" t="inlineStr">
        <is>
          <t>Kahil Cuttilan</t>
        </is>
      </c>
      <c r="B38" s="103" t="inlineStr">
        <is>
          <t>102543953</t>
        </is>
      </c>
      <c r="C38" s="103" t="inlineStr">
        <is>
          <t>200635603949</t>
        </is>
      </c>
      <c r="D38" s="103" t="inlineStr">
        <is>
          <t>0768448498</t>
        </is>
      </c>
      <c r="E38" s="103" t="inlineStr">
        <is>
          <t>kahilzaman@gmail.com</t>
        </is>
      </c>
    </row>
    <row r="39">
      <c r="A39" s="103" t="inlineStr">
        <is>
          <t>Thisum Wellahewage</t>
        </is>
      </c>
      <c r="B39" s="103" t="n"/>
      <c r="C39" s="103" t="inlineStr">
        <is>
          <t>200524601435</t>
        </is>
      </c>
      <c r="D39" s="103" t="inlineStr">
        <is>
          <t>0786749160</t>
        </is>
      </c>
      <c r="E39" s="103" t="inlineStr">
        <is>
          <t>thisumwellahewage@gmail.com</t>
        </is>
      </c>
    </row>
    <row r="40">
      <c r="A40" s="103" t="inlineStr">
        <is>
          <t>Thisara Ediriweera</t>
        </is>
      </c>
      <c r="B40" s="103" t="inlineStr">
        <is>
          <t>102621893</t>
        </is>
      </c>
      <c r="C40" s="103" t="inlineStr">
        <is>
          <t>200458112918</t>
        </is>
      </c>
      <c r="D40" s="103" t="inlineStr">
        <is>
          <t>0701203201</t>
        </is>
      </c>
      <c r="E40" s="103" t="inlineStr">
        <is>
          <t>en25300242@my.sliit.lk</t>
        </is>
      </c>
    </row>
    <row r="41">
      <c r="A41" s="103" t="inlineStr">
        <is>
          <t>Anbuchselvan Sharvessh Alakaraj</t>
        </is>
      </c>
      <c r="B41" s="103" t="inlineStr">
        <is>
          <t>102238110</t>
        </is>
      </c>
      <c r="C41" s="103" t="inlineStr">
        <is>
          <t>200504203358</t>
        </is>
      </c>
      <c r="D41" s="103" t="inlineStr">
        <is>
          <t>0771432469</t>
        </is>
      </c>
      <c r="E41" s="103" t="inlineStr">
        <is>
          <t>it25103183@my.sliit.lk</t>
        </is>
      </c>
    </row>
    <row r="42">
      <c r="A42" s="103" t="inlineStr">
        <is>
          <t>Dumindu Kariyawasam</t>
        </is>
      </c>
      <c r="B42" s="103" t="inlineStr">
        <is>
          <t>102573890</t>
        </is>
      </c>
      <c r="C42" s="103" t="inlineStr">
        <is>
          <t>200507004217</t>
        </is>
      </c>
      <c r="D42" s="103" t="inlineStr">
        <is>
          <t>0701566247</t>
        </is>
      </c>
      <c r="E42" s="103" t="inlineStr">
        <is>
          <t>dumindukkdl0310@gmail.com</t>
        </is>
      </c>
    </row>
    <row r="43">
      <c r="A43" s="103" t="inlineStr">
        <is>
          <t>Dinuki Gunawardana</t>
        </is>
      </c>
      <c r="B43" s="103" t="inlineStr">
        <is>
          <t>102571107</t>
        </is>
      </c>
      <c r="C43" s="103" t="inlineStr">
        <is>
          <t>200275700890</t>
        </is>
      </c>
      <c r="D43" s="103" t="inlineStr">
        <is>
          <t>0705991020</t>
        </is>
      </c>
      <c r="E43" s="103" t="inlineStr">
        <is>
          <t>dinukig13@gmail.com</t>
        </is>
      </c>
    </row>
    <row r="44">
      <c r="A44" s="103" t="inlineStr">
        <is>
          <t>Savidu Sithum</t>
        </is>
      </c>
      <c r="B44" s="103" t="n"/>
      <c r="C44" s="103" t="inlineStr">
        <is>
          <t>200203200899</t>
        </is>
      </c>
      <c r="D44" s="103" t="inlineStr">
        <is>
          <t>0760580735</t>
        </is>
      </c>
      <c r="E44" s="103" t="inlineStr">
        <is>
          <t>savidusithum899@gmail.com</t>
        </is>
      </c>
    </row>
    <row r="45">
      <c r="A45" s="103" t="inlineStr">
        <is>
          <t>Nayani Vithana</t>
        </is>
      </c>
      <c r="B45" s="103" t="inlineStr">
        <is>
          <t>102621441</t>
        </is>
      </c>
      <c r="C45" s="103" t="inlineStr">
        <is>
          <t>200475904052</t>
        </is>
      </c>
      <c r="D45" s="103" t="inlineStr">
        <is>
          <t>0712771105</t>
        </is>
      </c>
      <c r="E45" s="103" t="inlineStr">
        <is>
          <t>nkwithana@gmail.com</t>
        </is>
      </c>
    </row>
    <row r="46">
      <c r="A46" s="103" t="inlineStr">
        <is>
          <t>pamudu karunarathna</t>
        </is>
      </c>
      <c r="B46" s="103" t="inlineStr">
        <is>
          <t>102620880</t>
        </is>
      </c>
      <c r="C46" s="103" t="inlineStr">
        <is>
          <t>200415100671</t>
        </is>
      </c>
      <c r="D46" s="103" t="inlineStr">
        <is>
          <t>0778231138</t>
        </is>
      </c>
      <c r="E46" s="103" t="inlineStr">
        <is>
          <t>en25300317@my.sliit.lk</t>
        </is>
      </c>
    </row>
    <row r="47">
      <c r="A47" s="103" t="inlineStr">
        <is>
          <t>Warshana weerasooriya</t>
        </is>
      </c>
      <c r="B47" s="103" t="n"/>
      <c r="C47" s="103" t="inlineStr">
        <is>
          <t>200614300410</t>
        </is>
      </c>
      <c r="D47" s="103" t="inlineStr">
        <is>
          <t>0740484611</t>
        </is>
      </c>
      <c r="E47" s="103" t="inlineStr">
        <is>
          <t>warshanaweerasooriya440@gmail.com</t>
        </is>
      </c>
    </row>
    <row r="48">
      <c r="A48" s="103" t="inlineStr">
        <is>
          <t>charuni thushara</t>
        </is>
      </c>
      <c r="B48" s="103" t="inlineStr">
        <is>
          <t>102606863</t>
        </is>
      </c>
      <c r="C48" s="103" t="inlineStr">
        <is>
          <t>200268701323</t>
        </is>
      </c>
      <c r="D48" s="103" t="inlineStr">
        <is>
          <t>0767431012</t>
        </is>
      </c>
      <c r="E48" s="103" t="inlineStr">
        <is>
          <t>en25100345@my.sliit.lk</t>
        </is>
      </c>
    </row>
    <row r="49">
      <c r="A49" s="103" t="inlineStr">
        <is>
          <t>Nevishka Jayasinghe</t>
        </is>
      </c>
      <c r="B49" s="103" t="inlineStr">
        <is>
          <t>102545514</t>
        </is>
      </c>
      <c r="C49" s="103" t="inlineStr">
        <is>
          <t>200503500679</t>
        </is>
      </c>
      <c r="D49" s="103" t="inlineStr">
        <is>
          <t>0707430124</t>
        </is>
      </c>
      <c r="E49" s="103" t="inlineStr">
        <is>
          <t>en25300189@my.sliit.lk</t>
        </is>
      </c>
    </row>
    <row r="50">
      <c r="A50" s="103" t="inlineStr">
        <is>
          <t>Achira Karunarathne</t>
        </is>
      </c>
      <c r="B50" s="103" t="inlineStr">
        <is>
          <t>102024736</t>
        </is>
      </c>
      <c r="C50" s="103" t="inlineStr">
        <is>
          <t>200227003094</t>
        </is>
      </c>
      <c r="D50" s="103" t="inlineStr">
        <is>
          <t>0766409852</t>
        </is>
      </c>
      <c r="E50" s="103" t="inlineStr">
        <is>
          <t>achirakaru2002@gmail.com</t>
        </is>
      </c>
    </row>
    <row r="51">
      <c r="A51" s="103" t="inlineStr">
        <is>
          <t>Chamudi Welikanna</t>
        </is>
      </c>
      <c r="B51" s="103" t="inlineStr">
        <is>
          <t>102017314</t>
        </is>
      </c>
      <c r="C51" s="103" t="inlineStr">
        <is>
          <t>200367600589</t>
        </is>
      </c>
      <c r="D51" s="103" t="inlineStr">
        <is>
          <t>0705334261</t>
        </is>
      </c>
      <c r="E51" s="103" t="inlineStr">
        <is>
          <t>chamudirashmikawelikanna@gmail.com</t>
        </is>
      </c>
    </row>
    <row r="52">
      <c r="A52" s="103" t="inlineStr">
        <is>
          <t>Sithum Sathsara</t>
        </is>
      </c>
      <c r="B52" s="103" t="inlineStr">
        <is>
          <t>101099311</t>
        </is>
      </c>
      <c r="C52" s="103" t="inlineStr">
        <is>
          <t>2003148110564</t>
        </is>
      </c>
      <c r="D52" s="103" t="inlineStr">
        <is>
          <t>0765774721</t>
        </is>
      </c>
      <c r="E52" s="103" t="inlineStr">
        <is>
          <t>sithumsathsara111@gmail.com</t>
        </is>
      </c>
    </row>
    <row r="53">
      <c r="A53" s="103" t="inlineStr">
        <is>
          <t>Tharaka Hashan</t>
        </is>
      </c>
      <c r="B53" s="103" t="inlineStr">
        <is>
          <t>102309418</t>
        </is>
      </c>
      <c r="C53" s="103" t="inlineStr">
        <is>
          <t>200305300832</t>
        </is>
      </c>
      <c r="D53" s="103" t="inlineStr">
        <is>
          <t>0728350607</t>
        </is>
      </c>
      <c r="E53" s="103" t="inlineStr">
        <is>
          <t>thilakarathneskth@gmail.com</t>
        </is>
      </c>
    </row>
    <row r="54">
      <c r="A54" s="103" t="inlineStr">
        <is>
          <t>Gethma Chathmini</t>
        </is>
      </c>
      <c r="B54" s="103" t="inlineStr">
        <is>
          <t>102585493</t>
        </is>
      </c>
      <c r="C54" s="103" t="inlineStr">
        <is>
          <t>200556801916</t>
        </is>
      </c>
      <c r="D54" s="103" t="inlineStr">
        <is>
          <t>0788082082</t>
        </is>
      </c>
      <c r="E54" s="103" t="inlineStr">
        <is>
          <t>gethma2005@gmail.com</t>
        </is>
      </c>
    </row>
    <row r="55">
      <c r="A55" s="103" t="inlineStr">
        <is>
          <t>Nimasha Dharmadasa</t>
        </is>
      </c>
      <c r="B55" s="103" t="inlineStr">
        <is>
          <t>102615413</t>
        </is>
      </c>
      <c r="C55" s="103" t="inlineStr">
        <is>
          <t>200485704063</t>
        </is>
      </c>
      <c r="D55" s="103" t="inlineStr">
        <is>
          <t>0703344070</t>
        </is>
      </c>
      <c r="E55" s="103" t="inlineStr">
        <is>
          <t>nimashadharmadasa1222@gmail.com</t>
        </is>
      </c>
    </row>
    <row r="56">
      <c r="A56" s="103" t="inlineStr">
        <is>
          <t>Anjana Ayomal</t>
        </is>
      </c>
      <c r="B56" s="103" t="inlineStr">
        <is>
          <t>102610683</t>
        </is>
      </c>
      <c r="C56" s="103" t="inlineStr">
        <is>
          <t>200331512769</t>
        </is>
      </c>
      <c r="D56" s="103" t="inlineStr">
        <is>
          <t>0764360502</t>
        </is>
      </c>
      <c r="E56" s="103" t="inlineStr">
        <is>
          <t>anjanaayomal@gmail.com</t>
        </is>
      </c>
    </row>
    <row r="57">
      <c r="A57" s="103" t="inlineStr">
        <is>
          <t>Nafees</t>
        </is>
      </c>
      <c r="B57" s="103" t="n"/>
      <c r="C57" s="103" t="inlineStr">
        <is>
          <t>200319612178</t>
        </is>
      </c>
      <c r="D57" s="103" t="inlineStr">
        <is>
          <t>0715768567</t>
        </is>
      </c>
      <c r="E57" s="103" t="inlineStr">
        <is>
          <t>en25300403@my.sliit.lk</t>
        </is>
      </c>
    </row>
    <row r="58">
      <c r="A58" s="103" t="inlineStr">
        <is>
          <t>Neihan Rodrigo</t>
        </is>
      </c>
      <c r="B58" s="103" t="n"/>
      <c r="C58" s="103" t="inlineStr">
        <is>
          <t>200526601434</t>
        </is>
      </c>
      <c r="D58" s="103" t="inlineStr">
        <is>
          <t>0763748008</t>
        </is>
      </c>
      <c r="E58" s="103" t="inlineStr">
        <is>
          <t>en25300227@my.sliit.lk</t>
        </is>
      </c>
    </row>
    <row r="59">
      <c r="A59" s="103" t="inlineStr">
        <is>
          <t>Dulni Gehara</t>
        </is>
      </c>
      <c r="B59" s="103" t="inlineStr">
        <is>
          <t>102570326</t>
        </is>
      </c>
      <c r="C59" s="103" t="inlineStr">
        <is>
          <t>200563201476</t>
        </is>
      </c>
      <c r="D59" s="103" t="inlineStr">
        <is>
          <t>0704306547</t>
        </is>
      </c>
      <c r="E59" s="103" t="inlineStr">
        <is>
          <t>dulni3s@gmail.com</t>
        </is>
      </c>
    </row>
    <row r="60">
      <c r="A60" s="103" t="inlineStr">
        <is>
          <t>Nethmi Weerathunga</t>
        </is>
      </c>
      <c r="B60" s="103" t="inlineStr">
        <is>
          <t>102611923</t>
        </is>
      </c>
      <c r="C60" s="103" t="inlineStr">
        <is>
          <t>200565001636</t>
        </is>
      </c>
      <c r="D60" s="103" t="inlineStr">
        <is>
          <t>0717472983</t>
        </is>
      </c>
      <c r="E60" s="103" t="inlineStr">
        <is>
          <t>nethuweerathungaofficial2005@gmail.com</t>
        </is>
      </c>
    </row>
    <row r="61">
      <c r="A61" s="103" t="inlineStr">
        <is>
          <t>Sisina Gunasekara</t>
        </is>
      </c>
      <c r="B61" s="103" t="inlineStr">
        <is>
          <t>102570196</t>
        </is>
      </c>
      <c r="C61" s="103" t="inlineStr">
        <is>
          <t>200509301019</t>
        </is>
      </c>
      <c r="D61" s="103" t="inlineStr">
        <is>
          <t>0756318740</t>
        </is>
      </c>
      <c r="E61" s="103" t="inlineStr">
        <is>
          <t>sisinagunasekara@gmail.com</t>
        </is>
      </c>
    </row>
  </sheetData>
  <autoFilter ref="$A$1:$E$61"/>
  <pageMargins left="0.75" right="0.75" top="1" bottom="1" header="0" footer="0"/>
  <pageSetup orientation="portrait" paperSize="9"/>
</worksheet>
</file>

<file path=xl/worksheets/sheet1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B3" sqref="B3"/>
    </sheetView>
  </sheetViews>
  <sheetFormatPr baseColWidth="8" defaultColWidth="14.43" defaultRowHeight="15.75" customHeight="1"/>
  <cols>
    <col width="26" customWidth="1" style="108" min="1" max="1"/>
    <col width="18" customWidth="1" style="108" min="2" max="2"/>
    <col width="16" customWidth="1" style="108" min="3" max="3"/>
    <col width="15" customWidth="1" style="108" min="4" max="4"/>
    <col width="30" customWidth="1" style="108" min="5" max="5"/>
    <col width="8.710000000000001" customWidth="1" style="108" min="6" max="26"/>
  </cols>
  <sheetData>
    <row r="1">
      <c r="A1" s="102" t="inlineStr">
        <is>
          <t>Full Name</t>
        </is>
      </c>
      <c r="B1" s="102" t="inlineStr">
        <is>
          <t>IEEE Membership No</t>
        </is>
      </c>
      <c r="C1" s="102" t="inlineStr">
        <is>
          <t>NIC</t>
        </is>
      </c>
      <c r="D1" s="102" t="inlineStr">
        <is>
          <t>Phone Number</t>
        </is>
      </c>
      <c r="E1" s="102" t="inlineStr">
        <is>
          <t>Email Address</t>
        </is>
      </c>
    </row>
    <row r="2">
      <c r="A2" s="103" t="inlineStr">
        <is>
          <t>Lakvidu Rathnayake</t>
        </is>
      </c>
      <c r="B2" s="103" t="inlineStr">
        <is>
          <t>102622173</t>
        </is>
      </c>
      <c r="C2" s="103" t="inlineStr">
        <is>
          <t>200112000000</t>
        </is>
      </c>
      <c r="D2" s="103" t="inlineStr">
        <is>
          <t>0719277149</t>
        </is>
      </c>
      <c r="E2" s="103" t="inlineStr">
        <is>
          <t>lakviduuparasa@gmail.com</t>
        </is>
      </c>
    </row>
    <row r="3">
      <c r="A3" s="103" t="inlineStr">
        <is>
          <t>Kahil Cuttilan</t>
        </is>
      </c>
      <c r="B3" s="103" t="inlineStr">
        <is>
          <t>102543953</t>
        </is>
      </c>
      <c r="C3" s="103" t="inlineStr">
        <is>
          <t>200636000000</t>
        </is>
      </c>
      <c r="D3" s="103" t="inlineStr">
        <is>
          <t>0768448498</t>
        </is>
      </c>
      <c r="E3" s="103" t="inlineStr">
        <is>
          <t>kahilzaman@gmail.com</t>
        </is>
      </c>
    </row>
    <row r="4">
      <c r="A4" s="103" t="inlineStr">
        <is>
          <t>Nadun Siriwardhana</t>
        </is>
      </c>
      <c r="B4" s="103" t="inlineStr">
        <is>
          <t>102602232</t>
        </is>
      </c>
      <c r="C4" s="103" t="inlineStr">
        <is>
          <t>200319000000</t>
        </is>
      </c>
      <c r="D4" s="103" t="inlineStr">
        <is>
          <t>0743753208</t>
        </is>
      </c>
      <c r="E4" s="103" t="inlineStr">
        <is>
          <t>en25300001@my.sliit.lk</t>
        </is>
      </c>
    </row>
    <row r="5">
      <c r="A5" s="103" t="inlineStr">
        <is>
          <t>ANJANA AYOMAL</t>
        </is>
      </c>
      <c r="B5" s="103" t="inlineStr">
        <is>
          <t>102610683</t>
        </is>
      </c>
      <c r="C5" s="103" t="inlineStr">
        <is>
          <t>200332000000</t>
        </is>
      </c>
      <c r="D5" s="103" t="inlineStr">
        <is>
          <t>0764360502</t>
        </is>
      </c>
      <c r="E5" s="103" t="inlineStr">
        <is>
          <t>anjanaayomal@gmail.com</t>
        </is>
      </c>
    </row>
    <row r="6">
      <c r="A6" s="103" t="inlineStr">
        <is>
          <t>Danwaththa D.L.D.N</t>
        </is>
      </c>
      <c r="B6" s="103" t="inlineStr">
        <is>
          <t>102621461</t>
        </is>
      </c>
      <c r="C6" s="103" t="inlineStr">
        <is>
          <t>200501000000</t>
        </is>
      </c>
      <c r="D6" s="103" t="inlineStr">
        <is>
          <t>0762769259</t>
        </is>
      </c>
      <c r="E6" s="103" t="inlineStr">
        <is>
          <t>thisfordhanuka2005@gmail.com</t>
        </is>
      </c>
    </row>
    <row r="7">
      <c r="A7" s="103" t="inlineStr">
        <is>
          <t>Randil Gunarathna</t>
        </is>
      </c>
      <c r="B7" s="103" t="inlineStr">
        <is>
          <t>102545641</t>
        </is>
      </c>
      <c r="C7" s="103" t="inlineStr">
        <is>
          <t>200316000000</t>
        </is>
      </c>
      <c r="D7" s="103" t="inlineStr">
        <is>
          <t>0704366238</t>
        </is>
      </c>
      <c r="E7" s="103" t="inlineStr">
        <is>
          <t>randilsanjana036@gmail.com</t>
        </is>
      </c>
    </row>
    <row r="8">
      <c r="A8" s="103" t="inlineStr">
        <is>
          <t>Sajanee Bandara</t>
        </is>
      </c>
      <c r="B8" s="103" t="inlineStr">
        <is>
          <t>102625813</t>
        </is>
      </c>
      <c r="C8" s="103" t="inlineStr">
        <is>
          <t>200452000000</t>
        </is>
      </c>
      <c r="D8" s="103" t="inlineStr">
        <is>
          <t>0711213484</t>
        </is>
      </c>
      <c r="E8" s="103" t="inlineStr">
        <is>
          <t>sajanidhananjana2004@gmail.com</t>
        </is>
      </c>
    </row>
    <row r="9">
      <c r="A9" s="103" t="inlineStr">
        <is>
          <t>Himasari M.M.P.W</t>
        </is>
      </c>
      <c r="B9" s="103" t="inlineStr">
        <is>
          <t>102566930</t>
        </is>
      </c>
      <c r="C9" s="103" t="inlineStr">
        <is>
          <t>200481000000</t>
        </is>
      </c>
      <c r="D9" s="103" t="inlineStr">
        <is>
          <t>0715947496</t>
        </is>
      </c>
      <c r="E9" s="103" t="inlineStr">
        <is>
          <t>en25300181@my.sliit.lk</t>
        </is>
      </c>
    </row>
    <row r="10">
      <c r="A10" s="103" t="inlineStr">
        <is>
          <t>G.A.Yumal Lakmitha</t>
        </is>
      </c>
      <c r="B10" s="103" t="inlineStr">
        <is>
          <t>102237850</t>
        </is>
      </c>
      <c r="C10" s="103" t="inlineStr">
        <is>
          <t>200528000000</t>
        </is>
      </c>
      <c r="D10" s="103" t="inlineStr">
        <is>
          <t>0779358820</t>
        </is>
      </c>
      <c r="E10" s="103" t="inlineStr">
        <is>
          <t>yumallakmitha@gmail.com</t>
        </is>
      </c>
    </row>
    <row r="11">
      <c r="A11" s="103" t="inlineStr">
        <is>
          <t>Anbuchselvan Sharvessh Alakaraj</t>
        </is>
      </c>
      <c r="B11" s="103" t="inlineStr">
        <is>
          <t>102238110</t>
        </is>
      </c>
      <c r="C11" s="103" t="inlineStr">
        <is>
          <t>200504000000</t>
        </is>
      </c>
      <c r="D11" s="103" t="inlineStr">
        <is>
          <t>0771432469</t>
        </is>
      </c>
      <c r="E11" s="103" t="inlineStr">
        <is>
          <t>a.sharvesshalakaraj@yahoo.com</t>
        </is>
      </c>
    </row>
    <row r="12">
      <c r="A12" s="103" t="inlineStr">
        <is>
          <t>Thisara Ediriweera</t>
        </is>
      </c>
      <c r="B12" s="103" t="inlineStr">
        <is>
          <t>102621893</t>
        </is>
      </c>
      <c r="C12" s="103" t="inlineStr">
        <is>
          <t>200458000000</t>
        </is>
      </c>
      <c r="D12" s="103" t="inlineStr">
        <is>
          <t>0701203201</t>
        </is>
      </c>
      <c r="E12" s="103" t="inlineStr">
        <is>
          <t>en25300242@my.sliit.lk</t>
        </is>
      </c>
    </row>
    <row r="13">
      <c r="A13" s="103" t="inlineStr">
        <is>
          <t>Pamudu Karunarathna</t>
        </is>
      </c>
      <c r="B13" s="103" t="inlineStr">
        <is>
          <t>102620880</t>
        </is>
      </c>
      <c r="C13" s="103" t="inlineStr">
        <is>
          <t>200415000000</t>
        </is>
      </c>
      <c r="D13" s="103" t="inlineStr">
        <is>
          <t>0778231138</t>
        </is>
      </c>
      <c r="E13" s="103" t="inlineStr">
        <is>
          <t>en25300317@my.sliit.lk</t>
        </is>
      </c>
    </row>
    <row r="14">
      <c r="A14" s="103" t="inlineStr">
        <is>
          <t>Oshan Rajakaruna</t>
        </is>
      </c>
      <c r="B14" s="103" t="inlineStr">
        <is>
          <t>102622026</t>
        </is>
      </c>
      <c r="C14" s="103" t="inlineStr">
        <is>
          <t>200111000000</t>
        </is>
      </c>
      <c r="D14" s="103" t="inlineStr">
        <is>
          <t>0703165099</t>
        </is>
      </c>
      <c r="E14" s="103" t="inlineStr">
        <is>
          <t>oshanrajakaruna.studies@gmail.com</t>
        </is>
      </c>
    </row>
    <row r="15">
      <c r="A15" s="103" t="inlineStr">
        <is>
          <t>Kaveesha Anujith De Silva</t>
        </is>
      </c>
      <c r="B15" s="103" t="inlineStr">
        <is>
          <t>102543802</t>
        </is>
      </c>
      <c r="C15" s="103" t="inlineStr">
        <is>
          <t>200401000000</t>
        </is>
      </c>
      <c r="D15" s="103" t="inlineStr">
        <is>
          <t>0781646772</t>
        </is>
      </c>
      <c r="E15" s="103" t="inlineStr">
        <is>
          <t>tgkanujith@gmail.com</t>
        </is>
      </c>
    </row>
    <row r="16">
      <c r="A16" s="103" t="inlineStr">
        <is>
          <t>Nevishka Jayasinghe</t>
        </is>
      </c>
      <c r="B16" s="103" t="inlineStr">
        <is>
          <t>102545514</t>
        </is>
      </c>
      <c r="C16" s="103" t="inlineStr">
        <is>
          <t>200504000000</t>
        </is>
      </c>
      <c r="D16" s="103" t="inlineStr">
        <is>
          <t>0707430124</t>
        </is>
      </c>
      <c r="E16" s="103" t="inlineStr">
        <is>
          <t>en25300189@my.sliit.lk</t>
        </is>
      </c>
    </row>
    <row r="17">
      <c r="A17" s="103" t="inlineStr">
        <is>
          <t>Roneth Asvin</t>
        </is>
      </c>
      <c r="B17" s="103" t="inlineStr">
        <is>
          <t>102571882</t>
        </is>
      </c>
      <c r="C17" s="103" t="inlineStr">
        <is>
          <t>200421000000</t>
        </is>
      </c>
      <c r="D17" s="103" t="inlineStr">
        <is>
          <t>0764215348</t>
        </is>
      </c>
      <c r="E17" s="103" t="inlineStr">
        <is>
          <t>asvinroneth@gmail.com</t>
        </is>
      </c>
    </row>
    <row r="18">
      <c r="A18" s="103" t="inlineStr">
        <is>
          <t>Neluki Balasooriya</t>
        </is>
      </c>
      <c r="B18" s="103" t="inlineStr">
        <is>
          <t>102203470</t>
        </is>
      </c>
      <c r="C18" s="103" t="inlineStr">
        <is>
          <t>200576000000</t>
        </is>
      </c>
      <c r="D18" s="103" t="inlineStr">
        <is>
          <t>0755440008</t>
        </is>
      </c>
      <c r="E18" s="103" t="inlineStr">
        <is>
          <t>nelukibalasooriya@gmail.com</t>
        </is>
      </c>
    </row>
    <row r="19">
      <c r="A19" s="103" t="inlineStr">
        <is>
          <t>Dulni Gehara</t>
        </is>
      </c>
      <c r="B19" s="103" t="inlineStr">
        <is>
          <t>102570326</t>
        </is>
      </c>
      <c r="C19" s="103" t="inlineStr">
        <is>
          <t>200563201476</t>
        </is>
      </c>
      <c r="D19" s="103" t="inlineStr">
        <is>
          <t>0704306547</t>
        </is>
      </c>
      <c r="E19" s="103" t="n"/>
    </row>
    <row r="20">
      <c r="A20" s="103" t="inlineStr">
        <is>
          <t>Laksri Senura Pulukkuttiarachchi</t>
        </is>
      </c>
      <c r="B20" s="103" t="inlineStr">
        <is>
          <t>102543830</t>
        </is>
      </c>
      <c r="C20" s="103" t="inlineStr">
        <is>
          <t>200516000000</t>
        </is>
      </c>
      <c r="D20" s="103" t="inlineStr">
        <is>
          <t>0770157283</t>
        </is>
      </c>
      <c r="E20" s="103" t="inlineStr">
        <is>
          <t>laksrisenura@gmail.com</t>
        </is>
      </c>
    </row>
    <row r="21">
      <c r="A21" s="103" t="inlineStr">
        <is>
          <t>Shageeshan</t>
        </is>
      </c>
      <c r="B21" s="103" t="n"/>
      <c r="C21" s="103" t="inlineStr">
        <is>
          <t>200423302190</t>
        </is>
      </c>
      <c r="D21" s="103" t="n"/>
      <c r="E21" s="103" t="inlineStr">
        <is>
          <t>shageejoxtyn@gmail.com</t>
        </is>
      </c>
    </row>
  </sheetData>
  <autoFilter ref="$A$1:$E$21"/>
  <pageMargins left="0.75" right="0.75" top="1" bottom="1" header="0" footer="0"/>
  <pageSetup orientation="portrait" paperSize="9"/>
</worksheet>
</file>

<file path=xl/worksheets/sheet14.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B3" sqref="B3"/>
    </sheetView>
  </sheetViews>
  <sheetFormatPr baseColWidth="8" defaultColWidth="14.43" defaultRowHeight="15.75" customHeight="1"/>
  <cols>
    <col width="26" customWidth="1" style="108" min="1" max="1"/>
    <col width="18" customWidth="1" style="108" min="2" max="2"/>
    <col width="16" customWidth="1" style="108" min="3" max="3"/>
    <col width="15" customWidth="1" style="108" min="4" max="4"/>
    <col width="30" customWidth="1" style="108" min="5" max="5"/>
    <col width="8.710000000000001" customWidth="1" style="108" min="6" max="26"/>
  </cols>
  <sheetData>
    <row r="1">
      <c r="A1" s="102" t="inlineStr">
        <is>
          <t>Full Name</t>
        </is>
      </c>
      <c r="B1" s="102" t="inlineStr">
        <is>
          <t>IEEE Membership No</t>
        </is>
      </c>
      <c r="C1" s="102" t="inlineStr">
        <is>
          <t>NIC</t>
        </is>
      </c>
      <c r="D1" s="102" t="inlineStr">
        <is>
          <t>Phone Number</t>
        </is>
      </c>
      <c r="E1" s="102" t="inlineStr">
        <is>
          <t>Email Address</t>
        </is>
      </c>
    </row>
    <row r="2">
      <c r="A2" s="103" t="inlineStr">
        <is>
          <t>Sunjai Kajendrajith</t>
        </is>
      </c>
      <c r="B2" s="103" t="inlineStr">
        <is>
          <t>101161193</t>
        </is>
      </c>
      <c r="C2" s="103" t="inlineStr">
        <is>
          <t>200501400542</t>
        </is>
      </c>
      <c r="D2" s="103" t="inlineStr">
        <is>
          <t>0774458024</t>
        </is>
      </c>
      <c r="E2" s="103" t="inlineStr">
        <is>
          <t>sunkajendrajith@gmail.com</t>
        </is>
      </c>
    </row>
    <row r="3">
      <c r="A3" s="103" t="inlineStr">
        <is>
          <t>Devinda Fonseka</t>
        </is>
      </c>
      <c r="B3" s="103" t="inlineStr">
        <is>
          <t>102646010</t>
        </is>
      </c>
      <c r="C3" s="103" t="inlineStr">
        <is>
          <t>200528904897</t>
        </is>
      </c>
      <c r="D3" s="103" t="inlineStr">
        <is>
          <t>0714289080</t>
        </is>
      </c>
      <c r="E3" s="103" t="inlineStr">
        <is>
          <t>devfon@outlook.com</t>
        </is>
      </c>
    </row>
    <row r="4">
      <c r="A4" s="103" t="inlineStr">
        <is>
          <t>Senul mintharu somarathna</t>
        </is>
      </c>
      <c r="B4" s="103" t="n"/>
      <c r="C4" s="103" t="inlineStr">
        <is>
          <t>200428303431</t>
        </is>
      </c>
      <c r="D4" s="103" t="inlineStr">
        <is>
          <t>0716341217</t>
        </is>
      </c>
      <c r="E4" s="103" t="inlineStr">
        <is>
          <t>senulmintharu@gmail.com</t>
        </is>
      </c>
    </row>
    <row r="5">
      <c r="A5" s="103" t="inlineStr">
        <is>
          <t>Inupama Caldera</t>
        </is>
      </c>
      <c r="B5" s="103" t="n"/>
      <c r="C5" s="103" t="inlineStr">
        <is>
          <t>200374200536</t>
        </is>
      </c>
      <c r="D5" s="103" t="inlineStr">
        <is>
          <t>0774981865</t>
        </is>
      </c>
      <c r="E5" s="103" t="inlineStr">
        <is>
          <t>inupamacaldera@gmail.com</t>
        </is>
      </c>
    </row>
    <row r="6">
      <c r="A6" s="103" t="inlineStr">
        <is>
          <t>Imeth Liyanaarachchi</t>
        </is>
      </c>
      <c r="B6" s="103" t="n"/>
      <c r="C6" s="103" t="inlineStr">
        <is>
          <t>200234600918</t>
        </is>
      </c>
      <c r="D6" s="103" t="inlineStr">
        <is>
          <t>0705778826</t>
        </is>
      </c>
      <c r="E6" s="103" t="inlineStr">
        <is>
          <t>imetheeshan@gmail.com</t>
        </is>
      </c>
    </row>
    <row r="7">
      <c r="A7" s="103" t="inlineStr">
        <is>
          <t>Jesuyaan Sivarasa</t>
        </is>
      </c>
      <c r="B7" s="103" t="n"/>
      <c r="C7" s="103" t="inlineStr">
        <is>
          <t>200508604532</t>
        </is>
      </c>
      <c r="D7" s="103" t="inlineStr">
        <is>
          <t>0758039409</t>
        </is>
      </c>
      <c r="E7" s="103" t="inlineStr">
        <is>
          <t>jesuyaan.jj26@gmail.com</t>
        </is>
      </c>
    </row>
    <row r="8">
      <c r="A8" s="103" t="inlineStr">
        <is>
          <t>R.A.UDARA SAHAN RANWALA</t>
        </is>
      </c>
      <c r="B8" s="103" t="n"/>
      <c r="C8" s="103" t="inlineStr">
        <is>
          <t>200504501211</t>
        </is>
      </c>
      <c r="D8" s="103" t="inlineStr">
        <is>
          <t>0714292641</t>
        </is>
      </c>
      <c r="E8" s="103" t="inlineStr">
        <is>
          <t>udarasahan2005@gmail.com</t>
        </is>
      </c>
    </row>
    <row r="9">
      <c r="A9" s="103" t="inlineStr">
        <is>
          <t>Thamuditha Kewan</t>
        </is>
      </c>
      <c r="B9" s="103" t="n"/>
      <c r="C9" s="103" t="inlineStr">
        <is>
          <t>200530703285</t>
        </is>
      </c>
      <c r="D9" s="103" t="inlineStr">
        <is>
          <t>0787462729</t>
        </is>
      </c>
      <c r="E9" s="103" t="inlineStr">
        <is>
          <t>tkewan.live@gmail.com</t>
        </is>
      </c>
    </row>
    <row r="10">
      <c r="A10" s="103" t="inlineStr">
        <is>
          <t>Senitha Anujaya</t>
        </is>
      </c>
      <c r="B10" s="103" t="inlineStr">
        <is>
          <t>102569659</t>
        </is>
      </c>
      <c r="C10" s="103" t="inlineStr">
        <is>
          <t>200425804148</t>
        </is>
      </c>
      <c r="D10" s="103" t="inlineStr">
        <is>
          <t>0710701154</t>
        </is>
      </c>
      <c r="E10" s="103" t="inlineStr">
        <is>
          <t>senitha14anujaya@gmail.com</t>
        </is>
      </c>
    </row>
    <row r="11">
      <c r="A11" s="103" t="inlineStr">
        <is>
          <t>Dinuki Gunawardana</t>
        </is>
      </c>
      <c r="B11" s="103" t="inlineStr">
        <is>
          <t>102571107</t>
        </is>
      </c>
      <c r="C11" s="103" t="inlineStr">
        <is>
          <t>200275700890</t>
        </is>
      </c>
      <c r="D11" s="103" t="inlineStr">
        <is>
          <t>0705991020</t>
        </is>
      </c>
      <c r="E11" s="103" t="inlineStr">
        <is>
          <t>dinukig13@gmail.com</t>
        </is>
      </c>
    </row>
    <row r="12">
      <c r="A12" s="103" t="inlineStr">
        <is>
          <t>Kaveesha Rajapaksha</t>
        </is>
      </c>
      <c r="B12" s="103" t="inlineStr">
        <is>
          <t>102571658</t>
        </is>
      </c>
      <c r="C12" s="103" t="inlineStr">
        <is>
          <t>200373311960</t>
        </is>
      </c>
      <c r="D12" s="103" t="inlineStr">
        <is>
          <t>0768014423</t>
        </is>
      </c>
      <c r="E12" s="103" t="inlineStr">
        <is>
          <t>kaveesharajapaksha77@gmail.com</t>
        </is>
      </c>
    </row>
    <row r="13">
      <c r="A13" s="103" t="inlineStr">
        <is>
          <t>Shagash Karthigeson</t>
        </is>
      </c>
      <c r="B13" s="103" t="inlineStr">
        <is>
          <t>101572728</t>
        </is>
      </c>
      <c r="C13" s="103" t="inlineStr">
        <is>
          <t>200507104301</t>
        </is>
      </c>
      <c r="D13" s="103" t="inlineStr">
        <is>
          <t>0756653261</t>
        </is>
      </c>
      <c r="E13" s="103" t="inlineStr">
        <is>
          <t>kshagash@gmail.com</t>
        </is>
      </c>
    </row>
    <row r="14">
      <c r="A14" s="103" t="inlineStr">
        <is>
          <t>Gaveen Perera</t>
        </is>
      </c>
      <c r="B14" s="103" t="inlineStr">
        <is>
          <t>102644429</t>
        </is>
      </c>
      <c r="C14" s="103" t="inlineStr">
        <is>
          <t>200731204986</t>
        </is>
      </c>
      <c r="D14" s="103" t="inlineStr">
        <is>
          <t>0774170117</t>
        </is>
      </c>
      <c r="E14" s="103" t="inlineStr">
        <is>
          <t>gaveenperera7@gmail.com</t>
        </is>
      </c>
    </row>
    <row r="15">
      <c r="A15" s="103" t="inlineStr">
        <is>
          <t>Himasari M.M.P.W</t>
        </is>
      </c>
      <c r="B15" s="103" t="inlineStr">
        <is>
          <t>102566930</t>
        </is>
      </c>
      <c r="C15" s="103" t="inlineStr">
        <is>
          <t>200481302184</t>
        </is>
      </c>
      <c r="D15" s="103" t="inlineStr">
        <is>
          <t>0715947496</t>
        </is>
      </c>
      <c r="E15" s="103" t="inlineStr">
        <is>
          <t>vimansahimasari@gmail.com</t>
        </is>
      </c>
    </row>
    <row r="16">
      <c r="A16" s="103" t="inlineStr">
        <is>
          <t>Lakvidu Upasara</t>
        </is>
      </c>
      <c r="B16" s="103" t="inlineStr">
        <is>
          <t>102622173</t>
        </is>
      </c>
      <c r="C16" s="103" t="inlineStr">
        <is>
          <t>2000111503769</t>
        </is>
      </c>
      <c r="D16" s="103" t="inlineStr">
        <is>
          <t>0719277149</t>
        </is>
      </c>
      <c r="E16" s="103" t="inlineStr">
        <is>
          <t>lakviduuparasa@gmail.com</t>
        </is>
      </c>
    </row>
    <row r="17">
      <c r="A17" s="103" t="inlineStr">
        <is>
          <t>Nevishka Chamod Jayasinghe</t>
        </is>
      </c>
      <c r="B17" s="103" t="inlineStr">
        <is>
          <t>102545514</t>
        </is>
      </c>
      <c r="C17" s="103" t="inlineStr">
        <is>
          <t>200503500679</t>
        </is>
      </c>
      <c r="D17" s="103" t="inlineStr">
        <is>
          <t>0707430124</t>
        </is>
      </c>
      <c r="E17" s="103" t="inlineStr">
        <is>
          <t>en25300189@my.sliit.lk</t>
        </is>
      </c>
    </row>
    <row r="18">
      <c r="A18" s="103" t="inlineStr">
        <is>
          <t>J. W. C Jananjana</t>
        </is>
      </c>
      <c r="B18" s="103" t="inlineStr">
        <is>
          <t>102641066</t>
        </is>
      </c>
      <c r="C18" s="103" t="inlineStr">
        <is>
          <t>200360911620</t>
        </is>
      </c>
      <c r="D18" s="103" t="inlineStr">
        <is>
          <t>0768102878</t>
        </is>
      </c>
      <c r="E18" s="103" t="inlineStr">
        <is>
          <t>jaan25liyanage@gmail.com</t>
        </is>
      </c>
    </row>
    <row r="19">
      <c r="A19" s="103" t="inlineStr">
        <is>
          <t>Achin Chandrasiri</t>
        </is>
      </c>
      <c r="B19" s="103" t="inlineStr">
        <is>
          <t>101026364</t>
        </is>
      </c>
      <c r="C19" s="103" t="inlineStr">
        <is>
          <t>200418402380</t>
        </is>
      </c>
      <c r="D19" s="103" t="inlineStr">
        <is>
          <t>0714020860</t>
        </is>
      </c>
      <c r="E19" s="103" t="inlineStr">
        <is>
          <t>achinchandrasiri@gmail.com</t>
        </is>
      </c>
    </row>
    <row r="20">
      <c r="A20" s="103" t="inlineStr">
        <is>
          <t>Oshan Rajakaruna</t>
        </is>
      </c>
      <c r="B20" s="103" t="inlineStr">
        <is>
          <t>102622026</t>
        </is>
      </c>
      <c r="C20" s="103" t="inlineStr">
        <is>
          <t>200110600078</t>
        </is>
      </c>
      <c r="D20" s="103" t="inlineStr">
        <is>
          <t>0703165099</t>
        </is>
      </c>
      <c r="E20" s="103" t="inlineStr">
        <is>
          <t>oshanrajakaruna.studies@gmail.com</t>
        </is>
      </c>
    </row>
    <row r="21">
      <c r="A21" s="103" t="inlineStr">
        <is>
          <t>Pavitha.M</t>
        </is>
      </c>
      <c r="B21" s="103" t="inlineStr">
        <is>
          <t>102645600</t>
        </is>
      </c>
      <c r="C21" s="103" t="inlineStr">
        <is>
          <t>200460301585</t>
        </is>
      </c>
      <c r="D21" s="103" t="inlineStr">
        <is>
          <t>0766277417</t>
        </is>
      </c>
      <c r="E21" s="103" t="inlineStr">
        <is>
          <t>sanupavi1220@gmail.com</t>
        </is>
      </c>
    </row>
    <row r="22">
      <c r="A22" s="103" t="inlineStr">
        <is>
          <t>Dinali Sewmini Nawarathna</t>
        </is>
      </c>
      <c r="B22" s="103" t="inlineStr">
        <is>
          <t>102644287</t>
        </is>
      </c>
      <c r="C22" s="103" t="inlineStr">
        <is>
          <t>200282001902</t>
        </is>
      </c>
      <c r="D22" s="103" t="inlineStr">
        <is>
          <t>0767697253</t>
        </is>
      </c>
      <c r="E22" s="103" t="inlineStr">
        <is>
          <t>dinalinawarathna@gmail.com</t>
        </is>
      </c>
    </row>
    <row r="23">
      <c r="A23" s="103" t="inlineStr">
        <is>
          <t>Kavindu Udhara</t>
        </is>
      </c>
      <c r="B23" s="103" t="inlineStr">
        <is>
          <t>99948554</t>
        </is>
      </c>
      <c r="C23" s="103" t="inlineStr">
        <is>
          <t>200603103194</t>
        </is>
      </c>
      <c r="D23" s="103" t="inlineStr">
        <is>
          <t>0714282933</t>
        </is>
      </c>
      <c r="E23" s="103" t="inlineStr">
        <is>
          <t>wmkavinduudhara@gmail.com</t>
        </is>
      </c>
    </row>
    <row r="24">
      <c r="A24" s="103" t="inlineStr">
        <is>
          <t>Pabasara Gunawardhana</t>
        </is>
      </c>
      <c r="B24" s="103" t="inlineStr">
        <is>
          <t>102638092</t>
        </is>
      </c>
      <c r="C24" s="103" t="inlineStr">
        <is>
          <t>200583000638</t>
        </is>
      </c>
      <c r="D24" s="103" t="inlineStr">
        <is>
          <t>0715526677</t>
        </is>
      </c>
      <c r="E24" s="103" t="inlineStr">
        <is>
          <t>pabagunawardhana@gmail.com</t>
        </is>
      </c>
    </row>
    <row r="25">
      <c r="A25" s="103" t="inlineStr">
        <is>
          <t>Poorni Dananjana Rathnayake</t>
        </is>
      </c>
      <c r="B25" s="103" t="inlineStr">
        <is>
          <t>102198902</t>
        </is>
      </c>
      <c r="C25" s="103" t="inlineStr">
        <is>
          <t>200352303577</t>
        </is>
      </c>
      <c r="D25" s="103" t="inlineStr">
        <is>
          <t>0716591567</t>
        </is>
      </c>
      <c r="E25" s="103" t="inlineStr">
        <is>
          <t>poorniidananjanaa01@gmail.com</t>
        </is>
      </c>
    </row>
    <row r="26">
      <c r="A26" s="103" t="inlineStr">
        <is>
          <t>Saravanaa Ravi</t>
        </is>
      </c>
      <c r="B26" s="103" t="n"/>
      <c r="C26" s="103" t="inlineStr">
        <is>
          <t>200300800837</t>
        </is>
      </c>
      <c r="D26" s="103" t="inlineStr">
        <is>
          <t>0707021807</t>
        </is>
      </c>
      <c r="E26" s="103" t="inlineStr">
        <is>
          <t>saravanaaravi218@gmail.com</t>
        </is>
      </c>
    </row>
    <row r="27">
      <c r="A27" s="103" t="inlineStr">
        <is>
          <t>Imanya Gunarathne</t>
        </is>
      </c>
      <c r="B27" s="103" t="inlineStr">
        <is>
          <t>102647041</t>
        </is>
      </c>
      <c r="C27" s="103" t="inlineStr">
        <is>
          <t>200563901946</t>
        </is>
      </c>
      <c r="D27" s="103" t="inlineStr">
        <is>
          <t>0763045629</t>
        </is>
      </c>
      <c r="E27" s="103" t="inlineStr">
        <is>
          <t>imanyaa18@gmail.com</t>
        </is>
      </c>
    </row>
  </sheetData>
  <autoFilter ref="$A$1:$E$27"/>
  <pageMargins left="0.75" right="0.75" top="1" bottom="1" header="0" footer="0"/>
  <pageSetup orientation="portrait" paperSize="9"/>
</worksheet>
</file>

<file path=xl/worksheets/sheet15.xml><?xml version="1.0" encoding="utf-8"?>
<worksheet xmlns="http://schemas.openxmlformats.org/spreadsheetml/2006/main">
  <sheetPr>
    <outlinePr summaryBelow="1" summaryRight="1"/>
    <pageSetUpPr/>
  </sheetPr>
  <dimension ref="A1:K66"/>
  <sheetViews>
    <sheetView workbookViewId="0">
      <pane ySplit="1" topLeftCell="A2" activePane="bottomLeft" state="frozen"/>
      <selection pane="bottomLeft" activeCell="B3" sqref="B3"/>
    </sheetView>
  </sheetViews>
  <sheetFormatPr baseColWidth="8" defaultColWidth="14.43" defaultRowHeight="15.75" customHeight="1"/>
  <cols>
    <col width="26" customWidth="1" style="108" min="1" max="1"/>
    <col width="18" customWidth="1" style="108" min="2" max="2"/>
    <col width="16" customWidth="1" style="108" min="3" max="3"/>
    <col width="15" customWidth="1" style="108" min="4" max="4"/>
    <col width="30" customWidth="1" style="108" min="5" max="5"/>
    <col width="8.710000000000001" customWidth="1" style="108" min="6" max="26"/>
  </cols>
  <sheetData>
    <row r="1">
      <c r="A1" s="102" t="n"/>
      <c r="B1" s="102" t="inlineStr">
        <is>
          <t>IEEE Membership No</t>
        </is>
      </c>
      <c r="C1" s="102" t="inlineStr">
        <is>
          <t>NIC</t>
        </is>
      </c>
      <c r="D1" s="102" t="inlineStr">
        <is>
          <t>Phone Number</t>
        </is>
      </c>
      <c r="E1" s="102" t="inlineStr">
        <is>
          <t>Email Address</t>
        </is>
      </c>
    </row>
    <row r="2">
      <c r="A2" s="103" t="inlineStr">
        <is>
          <t>Rumesha Nisadi</t>
        </is>
      </c>
      <c r="B2" s="103" t="n"/>
      <c r="C2" s="103" t="inlineStr">
        <is>
          <t>200379912214</t>
        </is>
      </c>
      <c r="D2" s="103" t="inlineStr">
        <is>
          <t>0776040512</t>
        </is>
      </c>
      <c r="E2" s="103" t="inlineStr">
        <is>
          <t>rumeshanisadi3002@gmail.com</t>
        </is>
      </c>
    </row>
    <row r="3">
      <c r="A3" s="103" t="inlineStr">
        <is>
          <t>K.G.N.D.Siriwardhana</t>
        </is>
      </c>
      <c r="B3" s="103" t="n"/>
      <c r="C3" s="103" t="inlineStr">
        <is>
          <t>200363700136</t>
        </is>
      </c>
      <c r="D3" s="103" t="inlineStr">
        <is>
          <t>0714514446</t>
        </is>
      </c>
      <c r="E3" s="103" t="inlineStr">
        <is>
          <t>nipunisiriwardhana163@gmail.com</t>
        </is>
      </c>
    </row>
    <row r="4">
      <c r="A4" s="103" t="inlineStr">
        <is>
          <t>Minadi Pathirana</t>
        </is>
      </c>
      <c r="B4" s="103" t="n"/>
      <c r="C4" s="103" t="inlineStr">
        <is>
          <t>200368501142</t>
        </is>
      </c>
      <c r="D4" s="103" t="inlineStr">
        <is>
          <t>0776552986</t>
        </is>
      </c>
      <c r="E4" s="103" t="inlineStr">
        <is>
          <t>minadipathirana2003@gmail.com</t>
        </is>
      </c>
    </row>
    <row r="5">
      <c r="A5" s="103" t="inlineStr">
        <is>
          <t>Y.A. Hansika Dulanjani Wijesinghe</t>
        </is>
      </c>
      <c r="B5" s="103" t="n"/>
      <c r="C5" s="103" t="inlineStr">
        <is>
          <t>200455410683</t>
        </is>
      </c>
      <c r="D5" s="103" t="inlineStr">
        <is>
          <t>0714735904</t>
        </is>
      </c>
      <c r="E5" s="103" t="inlineStr">
        <is>
          <t>hansikadulanjani223@gmail.com</t>
        </is>
      </c>
    </row>
    <row r="6">
      <c r="A6" s="103" t="inlineStr">
        <is>
          <t>Chanuka nuwan niroshana</t>
        </is>
      </c>
      <c r="B6" s="103" t="n"/>
      <c r="C6" s="103" t="inlineStr">
        <is>
          <t>200210903403</t>
        </is>
      </c>
      <c r="D6" s="103" t="inlineStr">
        <is>
          <t>0752212421</t>
        </is>
      </c>
      <c r="E6" s="103" t="inlineStr">
        <is>
          <t>chanukaxnuwan@gmail.com</t>
        </is>
      </c>
    </row>
    <row r="7">
      <c r="A7" s="103" t="inlineStr">
        <is>
          <t>Isira pabasara</t>
        </is>
      </c>
      <c r="B7" s="103" t="n"/>
      <c r="C7" s="103" t="inlineStr">
        <is>
          <t>200702800820</t>
        </is>
      </c>
      <c r="D7" s="103" t="inlineStr">
        <is>
          <t>0755968340</t>
        </is>
      </c>
      <c r="E7" s="103" t="inlineStr">
        <is>
          <t>isirapabasara123@gmail.com</t>
        </is>
      </c>
    </row>
    <row r="8">
      <c r="A8" s="103" t="inlineStr">
        <is>
          <t>Tharupathi Pinsara</t>
        </is>
      </c>
      <c r="B8" s="103" t="n"/>
      <c r="C8" s="103" t="inlineStr">
        <is>
          <t>200423203778</t>
        </is>
      </c>
      <c r="D8" s="103" t="inlineStr">
        <is>
          <t>0778071774</t>
        </is>
      </c>
      <c r="E8" s="103" t="inlineStr">
        <is>
          <t>tharupathipinsara@gmail.com</t>
        </is>
      </c>
      <c r="K8" s="4" t="inlineStr">
        <is>
          <t xml:space="preserve">Can </t>
        </is>
      </c>
    </row>
    <row r="9">
      <c r="A9" s="103" t="inlineStr">
        <is>
          <t>Supun Kalhara Jayasinghe</t>
        </is>
      </c>
      <c r="B9" s="103" t="n"/>
      <c r="C9" s="103" t="inlineStr">
        <is>
          <t>200403110795</t>
        </is>
      </c>
      <c r="D9" s="103" t="inlineStr">
        <is>
          <t>0789620569</t>
        </is>
      </c>
      <c r="E9" s="103" t="inlineStr">
        <is>
          <t>contact@supunkalhara.com</t>
        </is>
      </c>
    </row>
    <row r="10">
      <c r="A10" s="103" t="inlineStr">
        <is>
          <t>Yethmi Jayaratne</t>
        </is>
      </c>
      <c r="B10" s="103" t="n"/>
      <c r="C10" s="103" t="inlineStr">
        <is>
          <t>200454011829</t>
        </is>
      </c>
      <c r="D10" s="103" t="inlineStr">
        <is>
          <t>0711651586</t>
        </is>
      </c>
      <c r="E10" s="103" t="inlineStr">
        <is>
          <t>yethmiijayaratne@gmail.com</t>
        </is>
      </c>
    </row>
    <row r="11">
      <c r="A11" s="103" t="inlineStr">
        <is>
          <t>Nivakaran Shanmugabavan</t>
        </is>
      </c>
      <c r="B11" s="103" t="n"/>
      <c r="C11" s="103" t="inlineStr">
        <is>
          <t>200208902949</t>
        </is>
      </c>
      <c r="D11" s="103" t="inlineStr">
        <is>
          <t>0760015755</t>
        </is>
      </c>
      <c r="E11" s="103" t="inlineStr">
        <is>
          <t>nivakaran@hotmail.com</t>
        </is>
      </c>
    </row>
    <row r="12">
      <c r="A12" s="103" t="inlineStr">
        <is>
          <t>Vonara Athukorala</t>
        </is>
      </c>
      <c r="B12" s="103" t="n"/>
      <c r="C12" s="103" t="inlineStr">
        <is>
          <t>200464201766</t>
        </is>
      </c>
      <c r="D12" s="103" t="inlineStr">
        <is>
          <t>0757981554</t>
        </is>
      </c>
      <c r="E12" s="103" t="inlineStr">
        <is>
          <t>vonaraathukorala04@gmail.com</t>
        </is>
      </c>
    </row>
    <row r="13">
      <c r="A13" s="103" t="inlineStr">
        <is>
          <t>amami gunathilake</t>
        </is>
      </c>
      <c r="B13" s="103" t="n"/>
      <c r="C13" s="103" t="inlineStr">
        <is>
          <t>200271601141</t>
        </is>
      </c>
      <c r="D13" s="103" t="inlineStr">
        <is>
          <t>0760711033</t>
        </is>
      </c>
      <c r="E13" s="103" t="inlineStr">
        <is>
          <t>amamig.gunathilake@gmail.com</t>
        </is>
      </c>
    </row>
    <row r="14">
      <c r="A14" s="103" t="inlineStr">
        <is>
          <t>Roneth Bashana</t>
        </is>
      </c>
      <c r="B14" s="103" t="n"/>
      <c r="C14" s="103" t="inlineStr">
        <is>
          <t>200412501102</t>
        </is>
      </c>
      <c r="D14" s="103" t="inlineStr">
        <is>
          <t>0725044088</t>
        </is>
      </c>
      <c r="E14" s="103" t="inlineStr">
        <is>
          <t>ronethbashana4@gmail.com</t>
        </is>
      </c>
    </row>
    <row r="15">
      <c r="A15" s="103" t="inlineStr">
        <is>
          <t>Iyoob Mohamed Muaath</t>
        </is>
      </c>
      <c r="B15" s="103" t="n"/>
      <c r="C15" s="103" t="inlineStr">
        <is>
          <t>200205301342</t>
        </is>
      </c>
      <c r="D15" s="103" t="inlineStr">
        <is>
          <t>0752631611</t>
        </is>
      </c>
      <c r="E15" s="103" t="inlineStr">
        <is>
          <t>muaathim22@gmail.com</t>
        </is>
      </c>
    </row>
    <row r="16">
      <c r="A16" s="103" t="inlineStr">
        <is>
          <t>E.w.i.d.ekanayaka</t>
        </is>
      </c>
      <c r="B16" s="103" t="n"/>
      <c r="C16" s="103" t="inlineStr">
        <is>
          <t>200208801882</t>
        </is>
      </c>
      <c r="D16" s="103" t="inlineStr">
        <is>
          <t>0785493978</t>
        </is>
      </c>
      <c r="E16" s="103" t="inlineStr">
        <is>
          <t>ishandilhara57@gmail.com</t>
        </is>
      </c>
    </row>
    <row r="17">
      <c r="A17" s="103" t="inlineStr">
        <is>
          <t>Chandima Bandara</t>
        </is>
      </c>
      <c r="B17" s="103" t="n"/>
      <c r="C17" s="103" t="inlineStr">
        <is>
          <t>200324210522</t>
        </is>
      </c>
      <c r="D17" s="103" t="inlineStr">
        <is>
          <t>0728288317</t>
        </is>
      </c>
      <c r="E17" s="103" t="inlineStr">
        <is>
          <t>chandimacbbandara@gmail.com</t>
        </is>
      </c>
      <c r="J17" s="105" t="n"/>
    </row>
    <row r="18">
      <c r="A18" s="103" t="inlineStr">
        <is>
          <t>Gaveesha Madhushan</t>
        </is>
      </c>
      <c r="B18" s="103" t="n"/>
      <c r="C18" s="103" t="inlineStr">
        <is>
          <t>200215301630</t>
        </is>
      </c>
      <c r="D18" s="103" t="inlineStr">
        <is>
          <t>0773875808</t>
        </is>
      </c>
      <c r="E18" s="103" t="inlineStr">
        <is>
          <t>gaveeshamadhushan15@gmail.com</t>
        </is>
      </c>
      <c r="J18" s="105" t="n"/>
    </row>
    <row r="19">
      <c r="A19" s="103" t="inlineStr">
        <is>
          <t>Sishan Achinthya Hewapathirana</t>
        </is>
      </c>
      <c r="B19" s="103" t="n"/>
      <c r="C19" s="103" t="inlineStr">
        <is>
          <t>200328410750</t>
        </is>
      </c>
      <c r="D19" s="103" t="inlineStr">
        <is>
          <t>0713274788</t>
        </is>
      </c>
      <c r="E19" s="103" t="inlineStr">
        <is>
          <t>sishanhewa4@gmail.com</t>
        </is>
      </c>
      <c r="J19" s="105" t="n"/>
    </row>
    <row r="20">
      <c r="A20" s="103" t="inlineStr">
        <is>
          <t>Thiloka Jeewani Kulathunga</t>
        </is>
      </c>
      <c r="B20" s="103" t="n"/>
      <c r="C20" s="103" t="inlineStr">
        <is>
          <t>200369112314</t>
        </is>
      </c>
      <c r="D20" s="103" t="inlineStr">
        <is>
          <t>0764300096</t>
        </is>
      </c>
      <c r="E20" s="103" t="inlineStr">
        <is>
          <t>it24100209@my.sliit.lk</t>
        </is>
      </c>
      <c r="J20" s="105" t="n"/>
    </row>
    <row r="21">
      <c r="A21" s="103" t="inlineStr">
        <is>
          <t>Hashini Hansika</t>
        </is>
      </c>
      <c r="B21" s="103" t="n"/>
      <c r="C21" s="103" t="inlineStr">
        <is>
          <t>200365711746</t>
        </is>
      </c>
      <c r="D21" s="103" t="inlineStr">
        <is>
          <t>0763984663</t>
        </is>
      </c>
      <c r="E21" s="103" t="inlineStr">
        <is>
          <t>hansikahashini65@gmail.com</t>
        </is>
      </c>
      <c r="J21" s="107" t="n"/>
    </row>
    <row r="22">
      <c r="A22" s="103" t="inlineStr">
        <is>
          <t>Manula Cooray</t>
        </is>
      </c>
      <c r="B22" s="103" t="n"/>
      <c r="C22" s="103" t="inlineStr">
        <is>
          <t>200236000817</t>
        </is>
      </c>
      <c r="D22" s="103" t="inlineStr">
        <is>
          <t>0702557227</t>
        </is>
      </c>
      <c r="E22" s="103" t="inlineStr">
        <is>
          <t>manulacooray@gmail.com</t>
        </is>
      </c>
      <c r="J22" s="107" t="n"/>
    </row>
    <row r="23">
      <c r="A23" s="103" t="inlineStr">
        <is>
          <t>Oshadhi Manage</t>
        </is>
      </c>
      <c r="B23" s="103" t="n"/>
      <c r="C23" s="103" t="inlineStr">
        <is>
          <t>200384211024</t>
        </is>
      </c>
      <c r="D23" s="103" t="inlineStr">
        <is>
          <t>0710753854</t>
        </is>
      </c>
      <c r="E23" s="103" t="inlineStr">
        <is>
          <t>oshadhimanage@gmail.com</t>
        </is>
      </c>
      <c r="J23" s="107" t="n"/>
    </row>
    <row r="24">
      <c r="A24" s="103" t="inlineStr">
        <is>
          <t>Maheen Navoda</t>
        </is>
      </c>
      <c r="B24" s="103" t="n"/>
      <c r="C24" s="103" t="inlineStr">
        <is>
          <t>200429501140</t>
        </is>
      </c>
      <c r="D24" s="103" t="inlineStr">
        <is>
          <t>0767328270</t>
        </is>
      </c>
      <c r="E24" s="103" t="inlineStr">
        <is>
          <t>maheennavoda04@gmail.com</t>
        </is>
      </c>
      <c r="J24" s="107" t="n"/>
    </row>
    <row r="25">
      <c r="A25" s="103" t="inlineStr">
        <is>
          <t>Anbuchselvan Sharvessh Alakaraj</t>
        </is>
      </c>
      <c r="B25" s="103" t="n"/>
      <c r="C25" s="103" t="inlineStr">
        <is>
          <t>200504203358</t>
        </is>
      </c>
      <c r="D25" s="103" t="inlineStr">
        <is>
          <t>0771432469</t>
        </is>
      </c>
      <c r="E25" s="103" t="inlineStr">
        <is>
          <t>a.sharvesshalakaraj@yahoo.com</t>
        </is>
      </c>
      <c r="J25" s="107" t="n"/>
    </row>
    <row r="26">
      <c r="A26" s="103" t="inlineStr">
        <is>
          <t>Ranjula Adikari</t>
        </is>
      </c>
      <c r="B26" s="103" t="n"/>
      <c r="C26" s="103" t="inlineStr">
        <is>
          <t>200428800685</t>
        </is>
      </c>
      <c r="D26" s="103" t="inlineStr">
        <is>
          <t>0761863828</t>
        </is>
      </c>
      <c r="E26" s="103" t="inlineStr">
        <is>
          <t>ranjulaadikari2004@gmail.com</t>
        </is>
      </c>
      <c r="J26" s="107" t="n"/>
    </row>
    <row r="27">
      <c r="A27" s="103" t="inlineStr">
        <is>
          <t>Vaishnaviey Karunananthan</t>
        </is>
      </c>
      <c r="B27" s="103" t="n"/>
      <c r="C27" s="103" t="inlineStr">
        <is>
          <t>200580200414</t>
        </is>
      </c>
      <c r="D27" s="103" t="inlineStr">
        <is>
          <t>0743916818</t>
        </is>
      </c>
      <c r="E27" s="103" t="inlineStr">
        <is>
          <t>vaishkaru28@gmail.com</t>
        </is>
      </c>
      <c r="J27" s="107" t="n"/>
    </row>
    <row r="28">
      <c r="A28" s="103" t="inlineStr">
        <is>
          <t>W. Pinithi Ransara Fernando</t>
        </is>
      </c>
      <c r="B28" s="103" t="n"/>
      <c r="C28" s="103" t="inlineStr">
        <is>
          <t>200366412481</t>
        </is>
      </c>
      <c r="D28" s="103" t="inlineStr">
        <is>
          <t>0772218163</t>
        </is>
      </c>
      <c r="E28" s="103" t="inlineStr">
        <is>
          <t>pinithi0123ransara@gmail.com</t>
        </is>
      </c>
      <c r="J28" s="107" t="n"/>
    </row>
    <row r="29">
      <c r="A29" s="103" t="inlineStr">
        <is>
          <t>Hashini Rajapaksha</t>
        </is>
      </c>
      <c r="B29" s="103" t="n"/>
      <c r="C29" s="103" t="inlineStr">
        <is>
          <t>200371011867</t>
        </is>
      </c>
      <c r="D29" s="103" t="inlineStr">
        <is>
          <t>0741606014</t>
        </is>
      </c>
      <c r="E29" s="103" t="inlineStr">
        <is>
          <t>hashinisandeepa7@gmail.com</t>
        </is>
      </c>
      <c r="J29" s="107" t="n"/>
    </row>
    <row r="30">
      <c r="A30" s="103" t="inlineStr">
        <is>
          <t>Shageeshan Thamodharam</t>
        </is>
      </c>
      <c r="B30" s="103" t="n"/>
      <c r="C30" s="103" t="inlineStr">
        <is>
          <t>200423302190</t>
        </is>
      </c>
      <c r="D30" s="103" t="inlineStr">
        <is>
          <t>0771089061</t>
        </is>
      </c>
      <c r="E30" s="103" t="inlineStr">
        <is>
          <t>shageejoxtyn@gmail.com</t>
        </is>
      </c>
      <c r="J30" s="107" t="n"/>
    </row>
    <row r="31">
      <c r="A31" s="103" t="inlineStr">
        <is>
          <t>Kaveen Hasanga</t>
        </is>
      </c>
      <c r="B31" s="103" t="n"/>
      <c r="C31" s="103" t="inlineStr">
        <is>
          <t>200425404332</t>
        </is>
      </c>
      <c r="D31" s="103" t="inlineStr">
        <is>
          <t>0717680297</t>
        </is>
      </c>
      <c r="E31" s="103" t="inlineStr">
        <is>
          <t>kaveenhasanga@gmail.com</t>
        </is>
      </c>
      <c r="J31" s="107" t="n"/>
    </row>
    <row r="32">
      <c r="A32" s="103" t="inlineStr">
        <is>
          <t>Maheesha Pramuditha</t>
        </is>
      </c>
      <c r="B32" s="103" t="n"/>
      <c r="C32" s="103" t="inlineStr">
        <is>
          <t>200412201424</t>
        </is>
      </c>
      <c r="D32" s="103" t="inlineStr">
        <is>
          <t>0703849949</t>
        </is>
      </c>
      <c r="E32" s="103" t="inlineStr">
        <is>
          <t>pramudithamaheesha@gmail.com</t>
        </is>
      </c>
      <c r="J32" s="107" t="n"/>
    </row>
    <row r="33">
      <c r="A33" s="103" t="inlineStr">
        <is>
          <t>Kalith Dabare</t>
        </is>
      </c>
      <c r="B33" s="103" t="n"/>
      <c r="C33" s="103" t="inlineStr">
        <is>
          <t>200513303913</t>
        </is>
      </c>
      <c r="D33" s="103" t="inlineStr">
        <is>
          <t>0703842009</t>
        </is>
      </c>
      <c r="E33" s="103" t="inlineStr">
        <is>
          <t>kalithdabare@gmail.com</t>
        </is>
      </c>
      <c r="J33" s="107" t="n"/>
    </row>
    <row r="34">
      <c r="A34" s="103" t="inlineStr">
        <is>
          <t>Ruhansi Fernando</t>
        </is>
      </c>
      <c r="B34" s="103" t="n"/>
      <c r="C34" s="103" t="inlineStr">
        <is>
          <t>200557302863</t>
        </is>
      </c>
      <c r="D34" s="103" t="inlineStr">
        <is>
          <t>0770475762</t>
        </is>
      </c>
      <c r="E34" s="103" t="inlineStr">
        <is>
          <t>hrsrfernando.13@gmail.com</t>
        </is>
      </c>
      <c r="J34" s="107" t="n"/>
    </row>
    <row r="35">
      <c r="A35" s="103" t="inlineStr">
        <is>
          <t>Nidhishan Sudharshan</t>
        </is>
      </c>
      <c r="B35" s="103" t="n"/>
      <c r="C35" s="103" t="inlineStr">
        <is>
          <t>200602404605</t>
        </is>
      </c>
      <c r="D35" s="103" t="inlineStr">
        <is>
          <t>0779079903</t>
        </is>
      </c>
      <c r="E35" s="103" t="inlineStr">
        <is>
          <t>nidhishansudharshan24@gmail.com</t>
        </is>
      </c>
      <c r="J35" s="107" t="n"/>
    </row>
    <row r="36">
      <c r="A36" s="103" t="inlineStr">
        <is>
          <t>Thrishodaran</t>
        </is>
      </c>
      <c r="B36" s="103" t="n"/>
      <c r="C36" s="103" t="inlineStr">
        <is>
          <t>200504201495</t>
        </is>
      </c>
      <c r="D36" s="103" t="inlineStr">
        <is>
          <t>0763481066</t>
        </is>
      </c>
      <c r="E36" s="103" t="inlineStr">
        <is>
          <t>thrishor05@gmail.com</t>
        </is>
      </c>
      <c r="J36" s="107" t="n"/>
    </row>
    <row r="37">
      <c r="A37" s="103" t="inlineStr">
        <is>
          <t>Nethaka Siriwardena</t>
        </is>
      </c>
      <c r="B37" s="103" t="n"/>
      <c r="C37" s="103" t="inlineStr">
        <is>
          <t>200332400312</t>
        </is>
      </c>
      <c r="D37" s="103" t="inlineStr">
        <is>
          <t>0777567090</t>
        </is>
      </c>
      <c r="E37" s="103" t="inlineStr">
        <is>
          <t>nethakasiriwardena@gmail.com</t>
        </is>
      </c>
      <c r="J37" s="107" t="n"/>
    </row>
    <row r="38">
      <c r="A38" s="103" t="inlineStr">
        <is>
          <t>Matheesha Pansilu Wijesekera</t>
        </is>
      </c>
      <c r="B38" s="103" t="n"/>
      <c r="C38" s="103" t="inlineStr">
        <is>
          <t>200516301825</t>
        </is>
      </c>
      <c r="D38" s="103" t="inlineStr">
        <is>
          <t>0775595824</t>
        </is>
      </c>
      <c r="E38" s="103" t="inlineStr">
        <is>
          <t>matheeshapansilu44@gmail.com</t>
        </is>
      </c>
      <c r="J38" s="107" t="n"/>
    </row>
    <row r="39">
      <c r="A39" s="103" t="inlineStr">
        <is>
          <t>Sugumar Sadurshan</t>
        </is>
      </c>
      <c r="B39" s="103" t="n"/>
      <c r="C39" s="103" t="inlineStr">
        <is>
          <t>200405210757</t>
        </is>
      </c>
      <c r="D39" s="103" t="inlineStr">
        <is>
          <t>0774788857</t>
        </is>
      </c>
      <c r="E39" s="103" t="inlineStr">
        <is>
          <t>sugumarsadurshan@gmail.com</t>
        </is>
      </c>
      <c r="J39" s="107" t="n"/>
    </row>
    <row r="40">
      <c r="A40" s="103" t="inlineStr">
        <is>
          <t>Danishiyan G.J</t>
        </is>
      </c>
      <c r="B40" s="103" t="n"/>
      <c r="C40" s="103" t="inlineStr">
        <is>
          <t>20012102611</t>
        </is>
      </c>
      <c r="D40" s="103" t="inlineStr">
        <is>
          <t>0740637032</t>
        </is>
      </c>
      <c r="E40" s="103" t="inlineStr">
        <is>
          <t>jeyakumardanishiyan2004@gmail.com</t>
        </is>
      </c>
      <c r="J40" s="107" t="n"/>
    </row>
    <row r="41">
      <c r="A41" s="103" t="inlineStr">
        <is>
          <t>I.D Pasindu Ashen</t>
        </is>
      </c>
      <c r="B41" s="103" t="n"/>
      <c r="C41" s="103" t="inlineStr">
        <is>
          <t>200211600020</t>
        </is>
      </c>
      <c r="D41" s="103" t="inlineStr">
        <is>
          <t>0766400796</t>
        </is>
      </c>
      <c r="E41" s="103" t="inlineStr">
        <is>
          <t>it24610781@my.sliit.lk</t>
        </is>
      </c>
      <c r="J41" s="107" t="n"/>
    </row>
    <row r="42">
      <c r="A42" s="103" t="inlineStr">
        <is>
          <t>Abdullah Alhar</t>
        </is>
      </c>
      <c r="B42" s="103" t="n"/>
      <c r="C42" s="103" t="inlineStr">
        <is>
          <t>200507902450</t>
        </is>
      </c>
      <c r="D42" s="103" t="inlineStr">
        <is>
          <t>0740670876</t>
        </is>
      </c>
      <c r="E42" s="103" t="inlineStr">
        <is>
          <t>abdullahbinalhar@gmail.com</t>
        </is>
      </c>
      <c r="J42" s="107" t="n"/>
    </row>
    <row r="43">
      <c r="A43" s="103" t="inlineStr">
        <is>
          <t>Gauravi Bandara</t>
        </is>
      </c>
      <c r="B43" s="103" t="n"/>
      <c r="C43" s="103" t="inlineStr">
        <is>
          <t>200483201823</t>
        </is>
      </c>
      <c r="D43" s="103" t="inlineStr">
        <is>
          <t>0717374272</t>
        </is>
      </c>
      <c r="E43" s="103" t="inlineStr">
        <is>
          <t>it24104321@my.sliit.lk</t>
        </is>
      </c>
      <c r="J43" s="107" t="n"/>
    </row>
    <row r="44">
      <c r="A44" s="103" t="inlineStr">
        <is>
          <t>Inuka Methum</t>
        </is>
      </c>
      <c r="B44" s="103" t="n"/>
      <c r="C44" s="103" t="inlineStr">
        <is>
          <t>200504702057</t>
        </is>
      </c>
      <c r="D44" s="103" t="inlineStr">
        <is>
          <t>0742326086</t>
        </is>
      </c>
      <c r="E44" s="103" t="inlineStr">
        <is>
          <t>inukamethum@gmail.com</t>
        </is>
      </c>
      <c r="J44" s="107" t="n"/>
    </row>
    <row r="45">
      <c r="A45" s="103" t="inlineStr">
        <is>
          <t>Laksri Senura</t>
        </is>
      </c>
      <c r="B45" s="103" t="n"/>
      <c r="C45" s="103" t="inlineStr">
        <is>
          <t>200515501368</t>
        </is>
      </c>
      <c r="D45" s="103" t="inlineStr">
        <is>
          <t>0770157283</t>
        </is>
      </c>
      <c r="E45" s="103" t="inlineStr">
        <is>
          <t>laksrisenura@gmail.com</t>
        </is>
      </c>
      <c r="J45" s="107" t="n"/>
    </row>
    <row r="46">
      <c r="A46" s="103" t="inlineStr">
        <is>
          <t>Dohan Imanjith</t>
        </is>
      </c>
      <c r="B46" s="103" t="n"/>
      <c r="C46" s="103" t="inlineStr">
        <is>
          <t>200531801223</t>
        </is>
      </c>
      <c r="D46" s="103" t="inlineStr">
        <is>
          <t>0712914818</t>
        </is>
      </c>
      <c r="E46" s="103" t="inlineStr">
        <is>
          <t>dohanimanjith21@gmail.com</t>
        </is>
      </c>
      <c r="J46" s="107" t="n"/>
    </row>
    <row r="47">
      <c r="A47" s="103" t="inlineStr">
        <is>
          <t>Sahnas Thufail</t>
        </is>
      </c>
      <c r="B47" s="103" t="n"/>
      <c r="C47" s="103" t="inlineStr">
        <is>
          <t>200284603184</t>
        </is>
      </c>
      <c r="D47" s="103" t="inlineStr">
        <is>
          <t>0716633585</t>
        </is>
      </c>
      <c r="E47" s="103" t="inlineStr">
        <is>
          <t>sahnasthufail@gmail.com</t>
        </is>
      </c>
      <c r="J47" s="107" t="n"/>
    </row>
    <row r="48">
      <c r="A48" s="103" t="inlineStr">
        <is>
          <t>Buddhima Sandaru</t>
        </is>
      </c>
      <c r="B48" s="103" t="n"/>
      <c r="C48" s="103" t="inlineStr">
        <is>
          <t>20040211282</t>
        </is>
      </c>
      <c r="D48" s="103" t="inlineStr">
        <is>
          <t>0768575359</t>
        </is>
      </c>
      <c r="E48" s="103" t="inlineStr">
        <is>
          <t>buddhimasandaru@gmail.com</t>
        </is>
      </c>
      <c r="J48" s="107" t="n"/>
    </row>
    <row r="49">
      <c r="A49" s="103" t="inlineStr">
        <is>
          <t>Ashan Induranga</t>
        </is>
      </c>
      <c r="B49" s="103" t="n"/>
      <c r="C49" s="103" t="inlineStr">
        <is>
          <t>200405812728</t>
        </is>
      </c>
      <c r="D49" s="103" t="inlineStr">
        <is>
          <t>0771950818</t>
        </is>
      </c>
      <c r="E49" s="103" t="inlineStr">
        <is>
          <t>ashanvfx@gmail.com</t>
        </is>
      </c>
      <c r="J49" s="107" t="n"/>
    </row>
    <row r="50">
      <c r="A50" s="103" t="inlineStr">
        <is>
          <t>G.K.Sedara Ransiluni</t>
        </is>
      </c>
      <c r="B50" s="103" t="n"/>
      <c r="C50" s="103" t="inlineStr">
        <is>
          <t>200471200476</t>
        </is>
      </c>
      <c r="D50" s="103" t="inlineStr">
        <is>
          <t>0702595383</t>
        </is>
      </c>
      <c r="E50" s="103" t="inlineStr">
        <is>
          <t>sedararansiluni01@gmail.com</t>
        </is>
      </c>
      <c r="J50" s="107" t="n"/>
    </row>
    <row r="51">
      <c r="A51" s="103" t="inlineStr">
        <is>
          <t>Amashi Jayawardhana</t>
        </is>
      </c>
      <c r="B51" s="103" t="n"/>
      <c r="C51" s="103" t="inlineStr">
        <is>
          <t>200367811759</t>
        </is>
      </c>
      <c r="D51" s="103" t="inlineStr">
        <is>
          <t>0774869219</t>
        </is>
      </c>
      <c r="E51" s="103" t="inlineStr">
        <is>
          <t>amashithathsarani025@gmail.com</t>
        </is>
      </c>
      <c r="J51" s="107" t="n"/>
    </row>
    <row r="52">
      <c r="A52" s="103" t="inlineStr">
        <is>
          <t>Themini Obeysekara</t>
        </is>
      </c>
      <c r="B52" s="103" t="n"/>
      <c r="C52" s="103" t="inlineStr">
        <is>
          <t>200373900408</t>
        </is>
      </c>
      <c r="D52" s="103" t="inlineStr">
        <is>
          <t>0702677320</t>
        </is>
      </c>
      <c r="E52" s="103" t="inlineStr">
        <is>
          <t>theminipiyanma@gmail.com</t>
        </is>
      </c>
      <c r="J52" s="107" t="n"/>
    </row>
    <row r="53">
      <c r="A53" s="103" t="inlineStr">
        <is>
          <t>Komuthu Perera</t>
        </is>
      </c>
      <c r="B53" s="103" t="n"/>
      <c r="C53" s="103" t="inlineStr">
        <is>
          <t>200462601300</t>
        </is>
      </c>
      <c r="D53" s="103" t="inlineStr">
        <is>
          <t>0743914482</t>
        </is>
      </c>
      <c r="E53" s="103" t="inlineStr">
        <is>
          <t>en25300563@my.sliit.lk</t>
        </is>
      </c>
      <c r="J53" s="107" t="n"/>
    </row>
    <row r="54">
      <c r="A54" s="103" t="inlineStr">
        <is>
          <t>Vishaka Rajapaksha</t>
        </is>
      </c>
      <c r="B54" s="103" t="n"/>
      <c r="C54" s="103" t="inlineStr">
        <is>
          <t>200579900428</t>
        </is>
      </c>
      <c r="D54" s="103" t="inlineStr">
        <is>
          <t>0743609962</t>
        </is>
      </c>
      <c r="E54" s="103" t="inlineStr">
        <is>
          <t>vishakarajapaksha97@gmail.com</t>
        </is>
      </c>
      <c r="J54" s="107" t="n"/>
    </row>
    <row r="55">
      <c r="A55" s="103" t="inlineStr">
        <is>
          <t>Tharindu Wijerathna</t>
        </is>
      </c>
      <c r="B55" s="103" t="n"/>
      <c r="C55" s="103" t="inlineStr">
        <is>
          <t>200420803939</t>
        </is>
      </c>
      <c r="D55" s="103" t="inlineStr">
        <is>
          <t>0740976916</t>
        </is>
      </c>
      <c r="E55" s="103" t="inlineStr">
        <is>
          <t>wijerathna.dev.2004@gmail.com</t>
        </is>
      </c>
      <c r="J55" s="107" t="n"/>
    </row>
    <row r="56">
      <c r="A56" s="103" t="inlineStr">
        <is>
          <t>Isuru Udana Pinthu</t>
        </is>
      </c>
      <c r="B56" s="103" t="n"/>
      <c r="C56" s="103" t="inlineStr">
        <is>
          <t>200311401180</t>
        </is>
      </c>
      <c r="D56" s="103" t="inlineStr">
        <is>
          <t>0705339022</t>
        </is>
      </c>
      <c r="E56" s="103" t="inlineStr">
        <is>
          <t>isuruudanapinthu@gmail.com</t>
        </is>
      </c>
      <c r="J56" s="107" t="n"/>
    </row>
    <row r="57">
      <c r="A57" s="103" t="inlineStr">
        <is>
          <t>Anantharuban Ashvithan</t>
        </is>
      </c>
      <c r="B57" s="103" t="n"/>
      <c r="C57" s="103" t="inlineStr">
        <is>
          <t>200420901109</t>
        </is>
      </c>
      <c r="D57" s="103" t="inlineStr">
        <is>
          <t>0767611627</t>
        </is>
      </c>
      <c r="E57" s="103" t="inlineStr">
        <is>
          <t>ashvithan9@gmail.com</t>
        </is>
      </c>
      <c r="J57" s="107" t="n"/>
    </row>
    <row r="58">
      <c r="A58" s="103" t="inlineStr">
        <is>
          <t>Umesan Sathananthan</t>
        </is>
      </c>
      <c r="B58" s="103" t="n"/>
      <c r="C58" s="103" t="inlineStr">
        <is>
          <t>200302600134</t>
        </is>
      </c>
      <c r="D58" s="103" t="inlineStr">
        <is>
          <t>0770575637</t>
        </is>
      </c>
      <c r="E58" s="103" t="inlineStr">
        <is>
          <t>it24100781@my.sliit.lk</t>
        </is>
      </c>
      <c r="J58" s="107" t="n"/>
    </row>
    <row r="59">
      <c r="A59" s="103" t="inlineStr">
        <is>
          <t>Archayan Mahendran</t>
        </is>
      </c>
      <c r="B59" s="103" t="n"/>
      <c r="C59" s="103" t="inlineStr">
        <is>
          <t>200501700506</t>
        </is>
      </c>
      <c r="D59" s="103" t="inlineStr">
        <is>
          <t>0772465594</t>
        </is>
      </c>
      <c r="E59" s="103" t="inlineStr">
        <is>
          <t>archayanmahendran@gmail.com</t>
        </is>
      </c>
      <c r="J59" s="107" t="n"/>
    </row>
    <row r="60">
      <c r="A60" s="103" t="inlineStr">
        <is>
          <t>Yeshan KP</t>
        </is>
      </c>
      <c r="B60" s="103" t="n"/>
      <c r="C60" s="103" t="inlineStr">
        <is>
          <t>200415600679</t>
        </is>
      </c>
      <c r="D60" s="103" t="inlineStr">
        <is>
          <t>0660355565</t>
        </is>
      </c>
      <c r="E60" s="103" t="inlineStr">
        <is>
          <t>online.yeshankp@gmail.com</t>
        </is>
      </c>
      <c r="J60" s="107" t="n"/>
    </row>
    <row r="61">
      <c r="A61" s="103" t="inlineStr">
        <is>
          <t>RAHUMATHULLA MOHAMED AHSAN</t>
        </is>
      </c>
      <c r="B61" s="103" t="n"/>
      <c r="C61" s="103" t="inlineStr">
        <is>
          <t>200232600960</t>
        </is>
      </c>
      <c r="D61" s="103" t="inlineStr">
        <is>
          <t>0761335018</t>
        </is>
      </c>
      <c r="E61" s="103" t="inlineStr">
        <is>
          <t>ahzanahzan257@gmail.com</t>
        </is>
      </c>
      <c r="J61" s="107" t="n"/>
    </row>
    <row r="62">
      <c r="A62" s="103" t="inlineStr">
        <is>
          <t>Mahendran Abilash</t>
        </is>
      </c>
      <c r="B62" s="103" t="n"/>
      <c r="C62" s="103" t="inlineStr">
        <is>
          <t>200601003998</t>
        </is>
      </c>
      <c r="D62" s="103" t="inlineStr">
        <is>
          <t>0740804159</t>
        </is>
      </c>
      <c r="E62" s="103" t="inlineStr">
        <is>
          <t>m.abilash2006@gmail.com</t>
        </is>
      </c>
      <c r="J62" s="107" t="n"/>
    </row>
    <row r="63">
      <c r="A63" s="103" t="inlineStr">
        <is>
          <t>Gavesh Bimsara</t>
        </is>
      </c>
      <c r="B63" s="103" t="n"/>
      <c r="C63" s="103" t="inlineStr">
        <is>
          <t>200220501828</t>
        </is>
      </c>
      <c r="D63" s="103" t="inlineStr">
        <is>
          <t>0778955252</t>
        </is>
      </c>
      <c r="E63" s="103" t="inlineStr">
        <is>
          <t>gaveshbimsara2002@gmail.com</t>
        </is>
      </c>
      <c r="J63" s="107" t="n"/>
    </row>
    <row r="64">
      <c r="A64" s="103" t="inlineStr">
        <is>
          <t>Amaya Rajapaksha</t>
        </is>
      </c>
      <c r="B64" s="103" t="n"/>
      <c r="C64" s="103" t="inlineStr">
        <is>
          <t>200376011738</t>
        </is>
      </c>
      <c r="D64" s="103" t="inlineStr">
        <is>
          <t>0702051708</t>
        </is>
      </c>
      <c r="E64" s="103" t="inlineStr">
        <is>
          <t>amayarajapaksha001@gmail.com</t>
        </is>
      </c>
    </row>
    <row r="65">
      <c r="A65" s="103" t="inlineStr">
        <is>
          <t>Gimhani Perera</t>
        </is>
      </c>
      <c r="B65" s="103" t="n"/>
      <c r="C65" s="103" t="inlineStr">
        <is>
          <t>200471402232</t>
        </is>
      </c>
      <c r="D65" s="103" t="inlineStr">
        <is>
          <t>0723033233</t>
        </is>
      </c>
      <c r="E65" s="103" t="inlineStr">
        <is>
          <t>gimhaninawodya801@gmail.com</t>
        </is>
      </c>
    </row>
    <row r="66">
      <c r="A66" s="103" t="inlineStr">
        <is>
          <t>Swetha Bandara</t>
        </is>
      </c>
      <c r="B66" s="103" t="n"/>
      <c r="C66" s="103" t="inlineStr">
        <is>
          <t>200410013152</t>
        </is>
      </c>
      <c r="D66" s="103" t="inlineStr">
        <is>
          <t>0718977464</t>
        </is>
      </c>
      <c r="E66" s="103" t="inlineStr">
        <is>
          <t>swethabandara77@gmail.com</t>
        </is>
      </c>
    </row>
  </sheetData>
  <autoFilter ref="$A$1:$E$66"/>
  <pageMargins left="0.75" right="0.75" top="1" bottom="1" header="0" footer="0"/>
  <pageSetup orientation="portrait" paperSize="9"/>
</worksheet>
</file>

<file path=xl/worksheets/sheet16.xml><?xml version="1.0" encoding="utf-8"?>
<worksheet xmlns="http://schemas.openxmlformats.org/spreadsheetml/2006/main">
  <sheetPr>
    <outlinePr summaryBelow="0" summaryRight="0"/>
    <pageSetUpPr/>
  </sheetPr>
  <dimension ref="A1:E49"/>
  <sheetViews>
    <sheetView workbookViewId="0">
      <selection activeCell="A1" sqref="A1"/>
    </sheetView>
  </sheetViews>
  <sheetFormatPr baseColWidth="8" defaultColWidth="14.43" defaultRowHeight="15.75" customHeight="1"/>
  <sheetData>
    <row r="1">
      <c r="A1" s="113" t="inlineStr">
        <is>
          <t>Full Name</t>
        </is>
      </c>
      <c r="B1" s="113" t="inlineStr">
        <is>
          <t>IEEE Membership No</t>
        </is>
      </c>
      <c r="C1" s="113" t="inlineStr">
        <is>
          <t>NIC</t>
        </is>
      </c>
      <c r="D1" s="113" t="inlineStr">
        <is>
          <t>Phone Number</t>
        </is>
      </c>
      <c r="E1" s="113" t="inlineStr">
        <is>
          <t>Email Address</t>
        </is>
      </c>
    </row>
    <row r="2">
      <c r="A2" s="112" t="inlineStr">
        <is>
          <t>Chathumina Kalatuwage</t>
        </is>
      </c>
      <c r="B2" s="112" t="n"/>
      <c r="C2" s="112" t="inlineStr">
        <is>
          <t>200328414721</t>
        </is>
      </c>
      <c r="D2" s="112" t="inlineStr">
        <is>
          <t>0721270234</t>
        </is>
      </c>
      <c r="E2" s="112" t="inlineStr">
        <is>
          <t>chathumina@ieee.org</t>
        </is>
      </c>
    </row>
    <row r="3">
      <c r="A3" s="112" t="inlineStr">
        <is>
          <t>G.M.Deepthi Chathulya Karunarathna</t>
        </is>
      </c>
      <c r="B3" s="112" t="inlineStr">
        <is>
          <t>102646626</t>
        </is>
      </c>
      <c r="C3" s="112" t="inlineStr">
        <is>
          <t>200384710130</t>
        </is>
      </c>
      <c r="D3" s="112" t="inlineStr">
        <is>
          <t>0701953276</t>
        </is>
      </c>
      <c r="E3" s="112" t="inlineStr">
        <is>
          <t>deepthichathulya747@gmail.com</t>
        </is>
      </c>
    </row>
    <row r="4">
      <c r="A4" s="112" t="inlineStr">
        <is>
          <t>Sisina Gunasekara</t>
        </is>
      </c>
      <c r="B4" s="112" t="inlineStr">
        <is>
          <t>102570196</t>
        </is>
      </c>
      <c r="C4" s="112" t="inlineStr">
        <is>
          <t>200509301019</t>
        </is>
      </c>
      <c r="D4" s="112" t="inlineStr">
        <is>
          <t>0756318740</t>
        </is>
      </c>
      <c r="E4" s="112" t="inlineStr">
        <is>
          <t>sisinagunasekara@gmail.com</t>
        </is>
      </c>
    </row>
    <row r="5">
      <c r="A5" s="112" t="inlineStr">
        <is>
          <t>Sugumar Sadurshan</t>
        </is>
      </c>
      <c r="B5" s="112" t="inlineStr">
        <is>
          <t>102588026</t>
        </is>
      </c>
      <c r="C5" s="112" t="inlineStr">
        <is>
          <t>200405210757</t>
        </is>
      </c>
      <c r="D5" s="112" t="inlineStr">
        <is>
          <t>0774788857</t>
        </is>
      </c>
      <c r="E5" s="112" t="inlineStr">
        <is>
          <t>sugumarsadurshan@gmail.com</t>
        </is>
      </c>
    </row>
    <row r="6">
      <c r="A6" s="112" t="inlineStr">
        <is>
          <t>Sahan Nethumina</t>
        </is>
      </c>
      <c r="B6" s="112" t="inlineStr">
        <is>
          <t>102544409</t>
        </is>
      </c>
      <c r="C6" s="112" t="inlineStr">
        <is>
          <t>200319913103</t>
        </is>
      </c>
      <c r="D6" s="112" t="inlineStr">
        <is>
          <t>0717246685</t>
        </is>
      </c>
      <c r="E6" s="112" t="inlineStr">
        <is>
          <t>sahannethuminaln24@gmail.com</t>
        </is>
      </c>
    </row>
    <row r="7">
      <c r="A7" s="112" t="inlineStr">
        <is>
          <t>Nethaka Siriwardena</t>
        </is>
      </c>
      <c r="B7" s="112" t="inlineStr">
        <is>
          <t>101573952</t>
        </is>
      </c>
      <c r="C7" s="112" t="inlineStr">
        <is>
          <t>200332400312</t>
        </is>
      </c>
      <c r="D7" s="112" t="inlineStr">
        <is>
          <t>0777567090</t>
        </is>
      </c>
      <c r="E7" s="112" t="inlineStr">
        <is>
          <t>nethakasiriwardena@gmail.com</t>
        </is>
      </c>
    </row>
    <row r="8">
      <c r="A8" s="112" t="inlineStr">
        <is>
          <t>Fasha Fahim</t>
        </is>
      </c>
      <c r="B8" s="112" t="inlineStr">
        <is>
          <t>102603218</t>
        </is>
      </c>
      <c r="C8" s="112" t="inlineStr">
        <is>
          <t>200382513490</t>
        </is>
      </c>
      <c r="D8" s="112" t="inlineStr">
        <is>
          <t>+94740430804</t>
        </is>
      </c>
      <c r="E8" s="112" t="inlineStr">
        <is>
          <t>fasha2225@gmail.com</t>
        </is>
      </c>
    </row>
    <row r="9">
      <c r="A9" s="112" t="inlineStr">
        <is>
          <t>Kusal Senavirathne</t>
        </is>
      </c>
      <c r="B9" s="112" t="n"/>
      <c r="C9" s="112" t="inlineStr">
        <is>
          <t>200133800894</t>
        </is>
      </c>
      <c r="D9" s="112" t="n"/>
      <c r="E9" s="112" t="n"/>
    </row>
    <row r="10">
      <c r="A10" s="112" t="inlineStr">
        <is>
          <t>P .M.H Mandira Polgampala</t>
        </is>
      </c>
      <c r="B10" s="112" t="inlineStr">
        <is>
          <t>101212684</t>
        </is>
      </c>
      <c r="C10" s="112" t="inlineStr">
        <is>
          <t>200263903359</t>
        </is>
      </c>
      <c r="D10" s="112" t="inlineStr">
        <is>
          <t>0767771382</t>
        </is>
      </c>
      <c r="E10" s="112" t="inlineStr">
        <is>
          <t>mandirapmh@gmail.com</t>
        </is>
      </c>
    </row>
    <row r="11">
      <c r="A11" s="112" t="inlineStr">
        <is>
          <t>Nuwandi Ferdinand</t>
        </is>
      </c>
      <c r="B11" s="112" t="inlineStr">
        <is>
          <t>102603307</t>
        </is>
      </c>
      <c r="C11" s="112" t="inlineStr">
        <is>
          <t>200757004688</t>
        </is>
      </c>
      <c r="D11" s="112" t="inlineStr">
        <is>
          <t>0723301161</t>
        </is>
      </c>
      <c r="E11" s="112" t="inlineStr">
        <is>
          <t>rasinthikanirmali@gmail.com</t>
        </is>
      </c>
    </row>
    <row r="12">
      <c r="A12" s="112" t="inlineStr">
        <is>
          <t>Thrishodaran V</t>
        </is>
      </c>
      <c r="B12" s="112" t="inlineStr">
        <is>
          <t>102619809</t>
        </is>
      </c>
      <c r="C12" s="112" t="inlineStr">
        <is>
          <t>200504201495</t>
        </is>
      </c>
      <c r="D12" s="112" t="inlineStr">
        <is>
          <t>0763481066</t>
        </is>
      </c>
      <c r="E12" s="112" t="inlineStr">
        <is>
          <t>thrishor05@gmail.com</t>
        </is>
      </c>
    </row>
    <row r="13">
      <c r="A13" s="112" t="inlineStr">
        <is>
          <t>G. Shazmina Oudeen</t>
        </is>
      </c>
      <c r="B13" s="112" t="inlineStr">
        <is>
          <t>102584776</t>
        </is>
      </c>
      <c r="C13" s="112" t="inlineStr">
        <is>
          <t>200554204328</t>
        </is>
      </c>
      <c r="D13" s="112" t="inlineStr">
        <is>
          <t>0757119305</t>
        </is>
      </c>
      <c r="E13" s="112" t="inlineStr">
        <is>
          <t>Shxminaoud@gmail.com</t>
        </is>
      </c>
    </row>
    <row r="14">
      <c r="A14" s="112" t="inlineStr">
        <is>
          <t>Linal De Zoysa</t>
        </is>
      </c>
      <c r="B14" s="112" t="n"/>
      <c r="C14" s="112" t="inlineStr">
        <is>
          <t>200329613330</t>
        </is>
      </c>
      <c r="D14" s="112" t="n"/>
      <c r="E14" s="112" t="n"/>
    </row>
    <row r="15">
      <c r="A15" s="112" t="inlineStr">
        <is>
          <t>Galgamuge Dinil Shanuk Silva</t>
        </is>
      </c>
      <c r="B15" s="112" t="inlineStr">
        <is>
          <t>102576393</t>
        </is>
      </c>
      <c r="C15" s="112" t="inlineStr">
        <is>
          <t>200419001212</t>
        </is>
      </c>
      <c r="D15" s="112" t="inlineStr">
        <is>
          <t>0765596356</t>
        </is>
      </c>
      <c r="E15" s="112" t="inlineStr">
        <is>
          <t>shanuk.silva50@gmail.com</t>
        </is>
      </c>
    </row>
    <row r="16">
      <c r="A16" s="112" t="inlineStr">
        <is>
          <t>Tharindu Wijerathna</t>
        </is>
      </c>
      <c r="B16" s="112" t="inlineStr">
        <is>
          <t>102461187</t>
        </is>
      </c>
      <c r="C16" s="112" t="inlineStr">
        <is>
          <t>200420803939</t>
        </is>
      </c>
      <c r="D16" s="112" t="inlineStr">
        <is>
          <t>0740976916</t>
        </is>
      </c>
      <c r="E16" s="112" t="inlineStr">
        <is>
          <t>wijerathna.dev.2004@gmail.com</t>
        </is>
      </c>
    </row>
    <row r="17">
      <c r="A17" s="112" t="inlineStr">
        <is>
          <t>Himasari M.M.P .W</t>
        </is>
      </c>
      <c r="B17" s="112" t="inlineStr">
        <is>
          <t>102566930</t>
        </is>
      </c>
      <c r="C17" s="112" t="inlineStr">
        <is>
          <t>200481302184</t>
        </is>
      </c>
      <c r="D17" s="112" t="inlineStr">
        <is>
          <t>0715947496</t>
        </is>
      </c>
      <c r="E17" s="112" t="inlineStr">
        <is>
          <t>vimansahimasari@gmail.com</t>
        </is>
      </c>
    </row>
    <row r="18">
      <c r="A18" s="112" t="inlineStr">
        <is>
          <t>Vidara Karannagoda</t>
        </is>
      </c>
      <c r="B18" s="112" t="n"/>
      <c r="C18" s="112" t="inlineStr">
        <is>
          <t>200277102563</t>
        </is>
      </c>
      <c r="D18" s="112" t="inlineStr">
        <is>
          <t>0764231685</t>
        </is>
      </c>
      <c r="E18" s="112" t="inlineStr">
        <is>
          <t>ransiluni.2002@gmail.com</t>
        </is>
      </c>
    </row>
    <row r="19">
      <c r="A19" s="112" t="inlineStr">
        <is>
          <t>T.G. Kaveesha Anujith De Silva</t>
        </is>
      </c>
      <c r="B19" s="112" t="inlineStr">
        <is>
          <t>102543802</t>
        </is>
      </c>
      <c r="C19" s="112" t="inlineStr">
        <is>
          <t>200400611450</t>
        </is>
      </c>
      <c r="D19" s="112" t="inlineStr">
        <is>
          <t>0781646772</t>
        </is>
      </c>
      <c r="E19" s="112" t="inlineStr">
        <is>
          <t>tgkanujith@gmail.com</t>
        </is>
      </c>
    </row>
    <row r="20">
      <c r="A20" s="112" t="inlineStr">
        <is>
          <t>Poorni Dananjana Rathnayake</t>
        </is>
      </c>
      <c r="B20" s="112" t="inlineStr">
        <is>
          <t>102198902</t>
        </is>
      </c>
      <c r="C20" s="112" t="inlineStr">
        <is>
          <t>200352303577</t>
        </is>
      </c>
      <c r="D20" s="112" t="inlineStr">
        <is>
          <t>0716591567</t>
        </is>
      </c>
      <c r="E20" s="112" t="inlineStr">
        <is>
          <t>poornidananjanaa01@gmail.com</t>
        </is>
      </c>
    </row>
    <row r="21">
      <c r="A21" s="112" t="inlineStr">
        <is>
          <t>Nevishka Chamod Jayasinghe</t>
        </is>
      </c>
      <c r="B21" s="112" t="inlineStr">
        <is>
          <t>102545514</t>
        </is>
      </c>
      <c r="C21" s="112" t="inlineStr">
        <is>
          <t>200503500679</t>
        </is>
      </c>
      <c r="D21" s="112" t="inlineStr">
        <is>
          <t>0707430124</t>
        </is>
      </c>
      <c r="E21" s="112" t="inlineStr">
        <is>
          <t>en25300189@my.sliit.lk</t>
        </is>
      </c>
    </row>
    <row r="22">
      <c r="A22" s="112" t="inlineStr">
        <is>
          <t>M . Senitha Anujaya</t>
        </is>
      </c>
      <c r="B22" s="112" t="inlineStr">
        <is>
          <t>102569659</t>
        </is>
      </c>
      <c r="C22" s="112" t="inlineStr">
        <is>
          <t>200425804148</t>
        </is>
      </c>
      <c r="D22" s="112" t="inlineStr">
        <is>
          <t>0710701154</t>
        </is>
      </c>
      <c r="E22" s="112" t="inlineStr">
        <is>
          <t>senitha14anujaya@gmail.com</t>
        </is>
      </c>
    </row>
    <row r="23">
      <c r="A23" s="112" t="inlineStr">
        <is>
          <t>Sansala DGK</t>
        </is>
      </c>
      <c r="B23" s="112" t="n"/>
      <c r="C23" s="112" t="inlineStr">
        <is>
          <t>200428102329</t>
        </is>
      </c>
      <c r="D23" s="112" t="inlineStr">
        <is>
          <t>0703980535</t>
        </is>
      </c>
      <c r="E23" s="112" t="inlineStr">
        <is>
          <t>www.kaveeshasansala@gmail.com</t>
        </is>
      </c>
    </row>
    <row r="24">
      <c r="A24" s="112" t="inlineStr">
        <is>
          <t>Neluki Saseka Balasooriya</t>
        </is>
      </c>
      <c r="B24" s="112" t="inlineStr">
        <is>
          <t>102203470</t>
        </is>
      </c>
      <c r="C24" s="112" t="inlineStr">
        <is>
          <t>200575802192</t>
        </is>
      </c>
      <c r="D24" s="112" t="inlineStr">
        <is>
          <t>0755440008</t>
        </is>
      </c>
      <c r="E24" s="112" t="inlineStr">
        <is>
          <t>nelukibalasooriya@gmail.com</t>
        </is>
      </c>
    </row>
    <row r="25">
      <c r="A25" s="112" t="inlineStr">
        <is>
          <t>Kavindu Yatawara</t>
        </is>
      </c>
      <c r="B25" s="112" t="n"/>
      <c r="C25" s="112" t="inlineStr">
        <is>
          <t>200219102510</t>
        </is>
      </c>
      <c r="D25" s="112" t="inlineStr">
        <is>
          <t>0766442348</t>
        </is>
      </c>
      <c r="E25" s="112" t="inlineStr">
        <is>
          <t>kav02th@gmail.con</t>
        </is>
      </c>
    </row>
    <row r="26">
      <c r="A26" s="112" t="inlineStr">
        <is>
          <t>Nevindu Gangabada</t>
        </is>
      </c>
      <c r="B26" s="112" t="n"/>
      <c r="C26" s="112" t="inlineStr">
        <is>
          <t>200518203341</t>
        </is>
      </c>
      <c r="D26" s="112" t="inlineStr">
        <is>
          <t>0771183164</t>
        </is>
      </c>
      <c r="E26" s="112" t="inlineStr">
        <is>
          <t>nevindusamal@gmail.com</t>
        </is>
      </c>
    </row>
    <row r="27">
      <c r="A27" s="112" t="inlineStr">
        <is>
          <t>Sachini Kapurubandara</t>
        </is>
      </c>
      <c r="B27" s="112" t="inlineStr">
        <is>
          <t>102638259</t>
        </is>
      </c>
      <c r="C27" s="112" t="inlineStr">
        <is>
          <t>200260100611</t>
        </is>
      </c>
      <c r="D27" s="112" t="inlineStr">
        <is>
          <t>0706738975</t>
        </is>
      </c>
      <c r="E27" s="112" t="inlineStr">
        <is>
          <t>sachkapuru02@gmail.com</t>
        </is>
      </c>
    </row>
    <row r="28">
      <c r="A28" s="112" t="inlineStr">
        <is>
          <t>Thalgaspitiya Ralalage Swetha Thejan Bandara</t>
        </is>
      </c>
      <c r="B28" s="112" t="inlineStr">
        <is>
          <t>102647216</t>
        </is>
      </c>
      <c r="C28" s="112" t="inlineStr">
        <is>
          <t>200410013152</t>
        </is>
      </c>
      <c r="D28" s="112" t="inlineStr">
        <is>
          <t>0718977464</t>
        </is>
      </c>
      <c r="E28" s="112" t="inlineStr">
        <is>
          <t>swethabandara77@gmail.com</t>
        </is>
      </c>
    </row>
    <row r="29">
      <c r="A29" s="112" t="inlineStr">
        <is>
          <t>Shehara Jayathissa</t>
        </is>
      </c>
      <c r="B29" s="112" t="inlineStr">
        <is>
          <t>102566966</t>
        </is>
      </c>
      <c r="C29" s="112" t="inlineStr">
        <is>
          <t>200157503558</t>
        </is>
      </c>
      <c r="D29" s="112" t="inlineStr">
        <is>
          <t>0701942055</t>
        </is>
      </c>
      <c r="E29" s="112" t="inlineStr">
        <is>
          <t>sheharajayathissa315@gmail.com</t>
        </is>
      </c>
    </row>
    <row r="30">
      <c r="A30" s="112" t="inlineStr">
        <is>
          <t>Rushain Fernando</t>
        </is>
      </c>
      <c r="B30" s="112" t="n"/>
      <c r="C30" s="112" t="inlineStr">
        <is>
          <t>200217102200</t>
        </is>
      </c>
      <c r="D30" s="112" t="inlineStr">
        <is>
          <t>0702883223</t>
        </is>
      </c>
      <c r="E30" s="112" t="inlineStr">
        <is>
          <t>en23369542@my.sliit.lk</t>
        </is>
      </c>
    </row>
    <row r="31">
      <c r="A31" s="112" t="inlineStr">
        <is>
          <t>P .B Sadeep Sasanka</t>
        </is>
      </c>
      <c r="B31" s="112" t="inlineStr">
        <is>
          <t>102427711</t>
        </is>
      </c>
      <c r="C31" s="112" t="inlineStr">
        <is>
          <t>200406801049</t>
        </is>
      </c>
      <c r="D31" s="112" t="inlineStr">
        <is>
          <t>0705922792</t>
        </is>
      </c>
      <c r="E31" s="112" t="inlineStr">
        <is>
          <t>sasankasadeep78@gmail.com</t>
        </is>
      </c>
    </row>
    <row r="32">
      <c r="A32" s="112" t="inlineStr">
        <is>
          <t>Gauravi Bandara</t>
        </is>
      </c>
      <c r="B32" s="112" t="inlineStr">
        <is>
          <t>102647273</t>
        </is>
      </c>
      <c r="C32" s="112" t="inlineStr">
        <is>
          <t>200483201823</t>
        </is>
      </c>
      <c r="D32" s="112" t="inlineStr">
        <is>
          <t>0717374272</t>
        </is>
      </c>
      <c r="E32" s="112" t="inlineStr">
        <is>
          <t>it24104321@my.sliit.lk</t>
        </is>
      </c>
    </row>
    <row r="33">
      <c r="A33" s="112" t="inlineStr">
        <is>
          <t>KITHUSHAN MANIVANNAN</t>
        </is>
      </c>
      <c r="B33" s="112" t="inlineStr">
        <is>
          <t>102586893</t>
        </is>
      </c>
      <c r="C33" s="112" t="inlineStr">
        <is>
          <t>200427901992</t>
        </is>
      </c>
      <c r="D33" s="112" t="inlineStr">
        <is>
          <t>0768420135</t>
        </is>
      </c>
      <c r="E33" s="112" t="inlineStr">
        <is>
          <t>kithushan02@gmail.com</t>
        </is>
      </c>
    </row>
    <row r="34">
      <c r="A34" s="112" t="inlineStr">
        <is>
          <t>Anbuchselvan Sharvessh Alakaraj</t>
        </is>
      </c>
      <c r="B34" s="112" t="inlineStr">
        <is>
          <t>102238110</t>
        </is>
      </c>
      <c r="C34" s="112" t="inlineStr">
        <is>
          <t>200504203358</t>
        </is>
      </c>
      <c r="D34" s="112" t="inlineStr">
        <is>
          <t>0771432469</t>
        </is>
      </c>
      <c r="E34" s="112" t="inlineStr">
        <is>
          <t>it25103183@my.sliit.lk</t>
        </is>
      </c>
    </row>
    <row r="35">
      <c r="A35" s="112" t="inlineStr">
        <is>
          <t>Sithum Sathsara</t>
        </is>
      </c>
      <c r="B35" s="112" t="inlineStr">
        <is>
          <t>101099311</t>
        </is>
      </c>
      <c r="C35" s="112" t="inlineStr">
        <is>
          <t>200314810564</t>
        </is>
      </c>
      <c r="D35" s="112" t="inlineStr">
        <is>
          <t>0765774721</t>
        </is>
      </c>
      <c r="E35" s="112" t="inlineStr">
        <is>
          <t>sithumsathsara111@gmail.com</t>
        </is>
      </c>
    </row>
    <row r="36">
      <c r="A36" s="112" t="inlineStr">
        <is>
          <t>Deegoda Gamage Ishan Sandaruwan</t>
        </is>
      </c>
      <c r="B36" s="112" t="inlineStr">
        <is>
          <t>102647107</t>
        </is>
      </c>
      <c r="C36" s="112" t="inlineStr">
        <is>
          <t>200304000629</t>
        </is>
      </c>
      <c r="D36" s="112" t="inlineStr">
        <is>
          <t>0778648477</t>
        </is>
      </c>
      <c r="E36" s="112" t="inlineStr">
        <is>
          <t>ishansandaruwan329@gmail.com</t>
        </is>
      </c>
    </row>
    <row r="37">
      <c r="A37" s="112" t="inlineStr">
        <is>
          <t>Achira Karunarathne</t>
        </is>
      </c>
      <c r="B37" s="112" t="inlineStr">
        <is>
          <t>102024736</t>
        </is>
      </c>
      <c r="C37" s="112" t="inlineStr">
        <is>
          <t>200227003094</t>
        </is>
      </c>
      <c r="D37" s="112" t="inlineStr">
        <is>
          <t>0766409852</t>
        </is>
      </c>
      <c r="E37" s="112" t="inlineStr">
        <is>
          <t>achirakaru2002@gmail.com</t>
        </is>
      </c>
    </row>
    <row r="38">
      <c r="A38" s="112" t="inlineStr">
        <is>
          <t>Yasiru Vithanage</t>
        </is>
      </c>
      <c r="B38" s="112" t="inlineStr">
        <is>
          <t>102019250</t>
        </is>
      </c>
      <c r="C38" s="112" t="inlineStr">
        <is>
          <t>200517404859</t>
        </is>
      </c>
      <c r="D38" s="112" t="inlineStr">
        <is>
          <t>0777213372</t>
        </is>
      </c>
      <c r="E38" s="112" t="inlineStr">
        <is>
          <t>yasiruvitharanage@gmail.com</t>
        </is>
      </c>
    </row>
    <row r="39">
      <c r="A39" s="112" t="inlineStr">
        <is>
          <t>Sheneli Perera</t>
        </is>
      </c>
      <c r="B39" s="112" t="inlineStr">
        <is>
          <t>102209439</t>
        </is>
      </c>
      <c r="C39" s="112" t="inlineStr">
        <is>
          <t>200650104616</t>
        </is>
      </c>
      <c r="D39" s="112" t="inlineStr">
        <is>
          <t>0777137795</t>
        </is>
      </c>
      <c r="E39" s="112" t="inlineStr">
        <is>
          <t>en23467866@my.sliit.lk</t>
        </is>
      </c>
    </row>
    <row r="40">
      <c r="A40" s="112" t="inlineStr">
        <is>
          <t>Daham Jayakody</t>
        </is>
      </c>
      <c r="B40" s="112" t="n"/>
      <c r="C40" s="112" t="inlineStr">
        <is>
          <t>200210200490</t>
        </is>
      </c>
      <c r="D40" s="112" t="inlineStr">
        <is>
          <t>+94715305954</t>
        </is>
      </c>
      <c r="E40" s="112" t="inlineStr">
        <is>
          <t>dahamjayakodyy@gmail.com</t>
        </is>
      </c>
    </row>
    <row r="41">
      <c r="A41" s="112" t="inlineStr">
        <is>
          <t>Sihan Udayarathna</t>
        </is>
      </c>
      <c r="B41" s="112" t="inlineStr">
        <is>
          <t>100922137</t>
        </is>
      </c>
      <c r="C41" s="112" t="inlineStr">
        <is>
          <t>200325400681</t>
        </is>
      </c>
      <c r="D41" s="112" t="inlineStr">
        <is>
          <t>0776765582</t>
        </is>
      </c>
      <c r="E41" s="112" t="inlineStr">
        <is>
          <t>sihanudayaratna92@gmail.com</t>
        </is>
      </c>
    </row>
    <row r="42">
      <c r="A42" s="112" t="inlineStr">
        <is>
          <t>Dinuka Nirman Gamage</t>
        </is>
      </c>
      <c r="B42" s="112" t="n"/>
      <c r="C42" s="112" t="inlineStr">
        <is>
          <t>200214300787</t>
        </is>
      </c>
      <c r="D42" s="112" t="inlineStr">
        <is>
          <t>0721741038</t>
        </is>
      </c>
      <c r="E42" s="112" t="inlineStr">
        <is>
          <t>adv.dinuka@gmail.com</t>
        </is>
      </c>
    </row>
    <row r="43">
      <c r="A43" s="112" t="inlineStr">
        <is>
          <t>R.A.D.H.M Weerakon</t>
        </is>
      </c>
      <c r="B43" s="112" t="n"/>
      <c r="C43" s="112" t="inlineStr">
        <is>
          <t>200426604281</t>
        </is>
      </c>
      <c r="D43" s="112" t="inlineStr">
        <is>
          <t>+94716346815</t>
        </is>
      </c>
      <c r="E43" s="112" t="inlineStr">
        <is>
          <t>it24610788@my.sliit.lk</t>
        </is>
      </c>
    </row>
    <row r="44">
      <c r="A44" s="112" t="inlineStr">
        <is>
          <t>R.D Weeramanthri</t>
        </is>
      </c>
      <c r="B44" s="112" t="n"/>
      <c r="C44" s="112" t="inlineStr">
        <is>
          <t>200334910516</t>
        </is>
      </c>
      <c r="D44" s="112" t="inlineStr">
        <is>
          <t>0714839752</t>
        </is>
      </c>
      <c r="E44" s="112" t="inlineStr">
        <is>
          <t>rickw6305@gmail.com</t>
        </is>
      </c>
    </row>
    <row r="45">
      <c r="A45" s="112" t="inlineStr">
        <is>
          <t>Malmi Nayanathara Gunathilaka</t>
        </is>
      </c>
      <c r="B45" s="112" t="inlineStr">
        <is>
          <t>102645054</t>
        </is>
      </c>
      <c r="C45" s="112" t="inlineStr">
        <is>
          <t>200573302820</t>
        </is>
      </c>
      <c r="D45" s="112" t="inlineStr">
        <is>
          <t>0719026847</t>
        </is>
      </c>
      <c r="E45" s="112" t="inlineStr">
        <is>
          <t>en25300046@my.sliit.lk</t>
        </is>
      </c>
    </row>
    <row r="46">
      <c r="A46" s="112" t="inlineStr">
        <is>
          <t>T.R Lanka Paranawitane</t>
        </is>
      </c>
      <c r="B46" s="112" t="n"/>
      <c r="C46" s="112" t="inlineStr">
        <is>
          <t>200328000934</t>
        </is>
      </c>
      <c r="D46" s="112" t="inlineStr">
        <is>
          <t>0715813262</t>
        </is>
      </c>
      <c r="E46" s="112" t="inlineStr">
        <is>
          <t>en23696242@my.sliit.lk</t>
        </is>
      </c>
    </row>
    <row r="47">
      <c r="A47" s="112" t="inlineStr">
        <is>
          <t>Kulindu Balasooriya</t>
        </is>
      </c>
      <c r="B47" s="112" t="n"/>
      <c r="C47" s="112" t="inlineStr">
        <is>
          <t>200323600802</t>
        </is>
      </c>
      <c r="D47" s="112" t="inlineStr">
        <is>
          <t>0771980872</t>
        </is>
      </c>
      <c r="E47" s="112" t="inlineStr">
        <is>
          <t>kulindubala@gmail.com</t>
        </is>
      </c>
    </row>
    <row r="48">
      <c r="A48" s="112" t="inlineStr">
        <is>
          <t>Kaveen Hettiarachchi</t>
        </is>
      </c>
      <c r="B48" s="112" t="n"/>
      <c r="C48" s="112" t="inlineStr">
        <is>
          <t>200329000564</t>
        </is>
      </c>
      <c r="D48" s="112" t="inlineStr">
        <is>
          <t>0786645983</t>
        </is>
      </c>
      <c r="E48" s="112" t="inlineStr">
        <is>
          <t>kaveenhettiarachchi@gmail.com</t>
        </is>
      </c>
    </row>
    <row r="49">
      <c r="A49" s="112" t="inlineStr">
        <is>
          <t>Binuk Peiris</t>
        </is>
      </c>
      <c r="B49" s="112" t="n"/>
      <c r="C49" s="112" t="inlineStr">
        <is>
          <t>200230400510</t>
        </is>
      </c>
      <c r="D49" s="112" t="inlineStr">
        <is>
          <t>0762938117</t>
        </is>
      </c>
      <c r="E49" s="112" t="inlineStr">
        <is>
          <t>binukyehansa1030@gmail.com</t>
        </is>
      </c>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E28"/>
  <sheetViews>
    <sheetView workbookViewId="0">
      <selection activeCell="A1" sqref="A1"/>
    </sheetView>
  </sheetViews>
  <sheetFormatPr baseColWidth="8" defaultColWidth="14.43" defaultRowHeight="15.75" customHeight="1"/>
  <sheetData>
    <row r="1">
      <c r="A1" s="113" t="inlineStr">
        <is>
          <t>Full Name</t>
        </is>
      </c>
      <c r="B1" s="113" t="inlineStr">
        <is>
          <t>IEEE Membership No</t>
        </is>
      </c>
      <c r="C1" s="113" t="inlineStr">
        <is>
          <t>NIC</t>
        </is>
      </c>
      <c r="D1" s="113" t="inlineStr">
        <is>
          <t>Phone Number</t>
        </is>
      </c>
      <c r="E1" s="113" t="inlineStr">
        <is>
          <t>Email Address</t>
        </is>
      </c>
    </row>
    <row r="2">
      <c r="A2" s="112" t="inlineStr">
        <is>
          <t>Dilmi Chamya Nadakanda</t>
        </is>
      </c>
      <c r="B2" s="112" t="n"/>
      <c r="C2" s="112" t="inlineStr">
        <is>
          <t>200259903131</t>
        </is>
      </c>
      <c r="D2" s="112" t="inlineStr">
        <is>
          <t>0741663031</t>
        </is>
      </c>
      <c r="E2" s="112" t="inlineStr">
        <is>
          <t>dilmichamya48@gmail.com</t>
        </is>
      </c>
    </row>
    <row r="3">
      <c r="A3" s="112" t="inlineStr">
        <is>
          <t>Arindu Semal Amarajeewa</t>
        </is>
      </c>
      <c r="B3" s="112" t="n"/>
      <c r="C3" s="112" t="inlineStr">
        <is>
          <t>200206801964</t>
        </is>
      </c>
      <c r="D3" s="112" t="inlineStr">
        <is>
          <t>0721007572</t>
        </is>
      </c>
      <c r="E3" s="112" t="inlineStr">
        <is>
          <t>amarajeewa355@gmail.com</t>
        </is>
      </c>
    </row>
    <row r="4">
      <c r="A4" s="112" t="inlineStr">
        <is>
          <t>Himandi Dinithima Weerasekara</t>
        </is>
      </c>
      <c r="B4" s="112" t="n"/>
      <c r="C4" s="112" t="inlineStr">
        <is>
          <t>200278602344</t>
        </is>
      </c>
      <c r="D4" s="112" t="inlineStr">
        <is>
          <t>0704543861</t>
        </is>
      </c>
      <c r="E4" s="112" t="inlineStr">
        <is>
          <t>himandiweerasekara2002@gmail.com</t>
        </is>
      </c>
    </row>
    <row r="5">
      <c r="A5" s="112" t="inlineStr">
        <is>
          <t>Lakni Ranepura</t>
        </is>
      </c>
      <c r="B5" s="112" t="n"/>
      <c r="C5" s="112" t="inlineStr">
        <is>
          <t>200161400266</t>
        </is>
      </c>
      <c r="D5" s="112" t="inlineStr">
        <is>
          <t>0766939924</t>
        </is>
      </c>
      <c r="E5" s="112" t="inlineStr">
        <is>
          <t>it23772922@my.sliit.lk</t>
        </is>
      </c>
    </row>
    <row r="6">
      <c r="A6" s="112" t="inlineStr">
        <is>
          <t>Malith Samarakoon</t>
        </is>
      </c>
      <c r="B6" s="112" t="n"/>
      <c r="C6" s="112" t="inlineStr">
        <is>
          <t>200217200700</t>
        </is>
      </c>
      <c r="D6" s="112" t="inlineStr">
        <is>
          <t>0706617332</t>
        </is>
      </c>
      <c r="E6" s="112" t="inlineStr">
        <is>
          <t>malithransika20@gmail.com</t>
        </is>
      </c>
    </row>
    <row r="7">
      <c r="A7" s="112" t="inlineStr">
        <is>
          <t>Sunjai Kajendrajith</t>
        </is>
      </c>
      <c r="B7" s="112" t="inlineStr">
        <is>
          <t>101161193</t>
        </is>
      </c>
      <c r="C7" s="112" t="inlineStr">
        <is>
          <t>200501400542</t>
        </is>
      </c>
      <c r="D7" s="112" t="inlineStr">
        <is>
          <t>0774458024</t>
        </is>
      </c>
      <c r="E7" s="112" t="inlineStr">
        <is>
          <t>sunkajendrajith@gmail.com</t>
        </is>
      </c>
    </row>
    <row r="8">
      <c r="A8" s="112" t="inlineStr">
        <is>
          <t>Kasfbi Abool Jayah</t>
        </is>
      </c>
      <c r="B8" s="112" t="n"/>
      <c r="C8" s="112" t="inlineStr">
        <is>
          <t>200218000118</t>
        </is>
      </c>
      <c r="D8" s="112" t="inlineStr">
        <is>
          <t>0712327504</t>
        </is>
      </c>
      <c r="E8" s="112" t="inlineStr">
        <is>
          <t>it24102666@my.sliit.lk</t>
        </is>
      </c>
    </row>
    <row r="9">
      <c r="A9" s="112" t="inlineStr">
        <is>
          <t>Methum Kumarasinghe</t>
        </is>
      </c>
      <c r="B9" s="112" t="n"/>
      <c r="C9" s="112" t="inlineStr">
        <is>
          <t>200311610314</t>
        </is>
      </c>
      <c r="D9" s="112" t="inlineStr">
        <is>
          <t>0770103642</t>
        </is>
      </c>
      <c r="E9" s="112" t="inlineStr">
        <is>
          <t>methum2020@gmail.com</t>
        </is>
      </c>
    </row>
    <row r="10">
      <c r="A10" s="112" t="inlineStr">
        <is>
          <t>Imanya Gunarathne</t>
        </is>
      </c>
      <c r="B10" s="112" t="inlineStr">
        <is>
          <t>102647041</t>
        </is>
      </c>
      <c r="C10" s="112" t="inlineStr">
        <is>
          <t>200563901946</t>
        </is>
      </c>
      <c r="D10" s="112" t="inlineStr">
        <is>
          <t>0763045629</t>
        </is>
      </c>
      <c r="E10" s="112" t="inlineStr">
        <is>
          <t>imanyaa18@gmail.com</t>
        </is>
      </c>
    </row>
    <row r="11">
      <c r="A11" s="112" t="inlineStr">
        <is>
          <t>R.AUdara Sahan</t>
        </is>
      </c>
      <c r="B11" s="112" t="n"/>
      <c r="C11" s="112" t="inlineStr">
        <is>
          <t>200504501211</t>
        </is>
      </c>
      <c r="D11" s="112" t="inlineStr">
        <is>
          <t>0714292641</t>
        </is>
      </c>
      <c r="E11" s="112" t="inlineStr">
        <is>
          <t>udarasahan2005@gmail.com</t>
        </is>
      </c>
    </row>
    <row r="12">
      <c r="A12" s="112" t="inlineStr">
        <is>
          <t>Pathum Lakshan Bandara</t>
        </is>
      </c>
      <c r="B12" s="112" t="n"/>
      <c r="C12" s="112" t="inlineStr">
        <is>
          <t>200407013126</t>
        </is>
      </c>
      <c r="D12" s="112" t="inlineStr">
        <is>
          <t>0717357550</t>
        </is>
      </c>
      <c r="E12" s="112" t="inlineStr">
        <is>
          <t>pathum.lakshan.dev@gmail.com</t>
        </is>
      </c>
    </row>
    <row r="13">
      <c r="A13" s="112" t="inlineStr">
        <is>
          <t>Damidu Ransith</t>
        </is>
      </c>
      <c r="B13" s="112" t="n"/>
      <c r="C13" s="112" t="inlineStr">
        <is>
          <t>200428104682</t>
        </is>
      </c>
      <c r="D13" s="112" t="inlineStr">
        <is>
          <t>0789473751</t>
        </is>
      </c>
      <c r="E13" s="112" t="inlineStr">
        <is>
          <t>damiduransithsl2004@gmail.com</t>
        </is>
      </c>
    </row>
    <row r="14">
      <c r="A14" s="112" t="inlineStr">
        <is>
          <t>chathumika devmin</t>
        </is>
      </c>
      <c r="B14" s="112" t="n"/>
      <c r="C14" s="112" t="inlineStr">
        <is>
          <t>200511803776</t>
        </is>
      </c>
      <c r="D14" s="112" t="inlineStr">
        <is>
          <t>0714614352</t>
        </is>
      </c>
      <c r="E14" s="112" t="inlineStr">
        <is>
          <t>chathumikadevmin@icloud.com</t>
        </is>
      </c>
    </row>
    <row r="15">
      <c r="A15" s="112" t="inlineStr">
        <is>
          <t>Oshan Rajakaruna</t>
        </is>
      </c>
      <c r="B15" s="112" t="n"/>
      <c r="C15" s="112" t="inlineStr">
        <is>
          <t>200110600078</t>
        </is>
      </c>
      <c r="D15" s="112" t="inlineStr">
        <is>
          <t>0703165099</t>
        </is>
      </c>
      <c r="E15" s="112" t="inlineStr">
        <is>
          <t>oshanrajakaruna.studies@gmail.com</t>
        </is>
      </c>
    </row>
    <row r="16">
      <c r="A16" s="112" t="inlineStr">
        <is>
          <t>Minidu Jayasinghe</t>
        </is>
      </c>
      <c r="B16" s="112" t="n"/>
      <c r="C16" s="112" t="inlineStr">
        <is>
          <t>200514702158</t>
        </is>
      </c>
      <c r="D16" s="112" t="inlineStr">
        <is>
          <t>0772443816</t>
        </is>
      </c>
      <c r="E16" s="112" t="inlineStr">
        <is>
          <t>it25102553@my.sliit.lk</t>
        </is>
      </c>
    </row>
    <row r="17">
      <c r="A17" s="112" t="inlineStr">
        <is>
          <t>Ashani Anuththara</t>
        </is>
      </c>
      <c r="B17" s="112" t="inlineStr">
        <is>
          <t>102643399</t>
        </is>
      </c>
      <c r="C17" s="112" t="inlineStr">
        <is>
          <t>200480303984</t>
        </is>
      </c>
      <c r="D17" s="112" t="inlineStr">
        <is>
          <t>0777733250</t>
        </is>
      </c>
      <c r="E17" s="112" t="inlineStr">
        <is>
          <t>ashanianuththara117@gmail.com</t>
        </is>
      </c>
    </row>
    <row r="18">
      <c r="A18" s="112" t="inlineStr">
        <is>
          <t>Vaishnaviey Karunananthan</t>
        </is>
      </c>
      <c r="B18" s="112" t="n"/>
      <c r="C18" s="112" t="inlineStr">
        <is>
          <t>200580200414</t>
        </is>
      </c>
      <c r="D18" s="112" t="inlineStr">
        <is>
          <t>0743916818</t>
        </is>
      </c>
      <c r="E18" s="112" t="inlineStr">
        <is>
          <t>vaishkaru28@gmail.com</t>
        </is>
      </c>
    </row>
    <row r="19">
      <c r="A19" s="112" t="inlineStr">
        <is>
          <t>Viruli Vihanya</t>
        </is>
      </c>
      <c r="B19" s="112" t="n"/>
      <c r="C19" s="112" t="inlineStr">
        <is>
          <t>200255202708</t>
        </is>
      </c>
      <c r="D19" s="112" t="inlineStr">
        <is>
          <t>0719660775</t>
        </is>
      </c>
      <c r="E19" s="112" t="inlineStr">
        <is>
          <t>oshanichandanayake@gmail.com</t>
        </is>
      </c>
    </row>
    <row r="20">
      <c r="A20" s="112" t="inlineStr">
        <is>
          <t>Pirathap Sathiyaseelan</t>
        </is>
      </c>
      <c r="B20" s="112" t="n"/>
      <c r="C20" s="112" t="inlineStr">
        <is>
          <t>200300200184</t>
        </is>
      </c>
      <c r="D20" s="112" t="inlineStr">
        <is>
          <t>0757938169</t>
        </is>
      </c>
      <c r="E20" s="112" t="inlineStr">
        <is>
          <t>pirathap.dev@gmail.com</t>
        </is>
      </c>
    </row>
    <row r="21">
      <c r="A21" s="112" t="inlineStr">
        <is>
          <t>Hamsiga Srikanthaverl</t>
        </is>
      </c>
      <c r="B21" s="112" t="n"/>
      <c r="C21" s="112" t="inlineStr">
        <is>
          <t>200263800249</t>
        </is>
      </c>
      <c r="D21" s="112" t="inlineStr">
        <is>
          <t>0764728456</t>
        </is>
      </c>
      <c r="E21" s="112" t="inlineStr">
        <is>
          <t>hamsisrikanthaverl@gmail.com</t>
        </is>
      </c>
    </row>
    <row r="22">
      <c r="A22" s="112" t="inlineStr">
        <is>
          <t>Sanojan Thayaparan</t>
        </is>
      </c>
      <c r="B22" s="112" t="n"/>
      <c r="C22" s="112" t="inlineStr">
        <is>
          <t>200222501304</t>
        </is>
      </c>
      <c r="D22" s="112" t="inlineStr">
        <is>
          <t>0775604390</t>
        </is>
      </c>
      <c r="E22" s="112" t="inlineStr">
        <is>
          <t>sanojan.thayaparan@gmail.com</t>
        </is>
      </c>
    </row>
    <row r="23">
      <c r="A23" s="112" t="inlineStr">
        <is>
          <t>Thisara Himansi</t>
        </is>
      </c>
      <c r="B23" s="112" t="n"/>
      <c r="C23" s="112" t="inlineStr">
        <is>
          <t>200377400590</t>
        </is>
      </c>
      <c r="D23" s="112" t="inlineStr">
        <is>
          <t>0717816554</t>
        </is>
      </c>
      <c r="E23" s="112" t="inlineStr">
        <is>
          <t>himansiwelgama33@gmail.com</t>
        </is>
      </c>
    </row>
    <row r="24">
      <c r="A24" s="112" t="inlineStr">
        <is>
          <t>R.M.G.Rajasinghe</t>
        </is>
      </c>
      <c r="B24" s="112" t="n"/>
      <c r="C24" s="112" t="inlineStr">
        <is>
          <t>200319710120</t>
        </is>
      </c>
      <c r="D24" s="112" t="inlineStr">
        <is>
          <t>0741369017</t>
        </is>
      </c>
      <c r="E24" s="112" t="inlineStr">
        <is>
          <t>raveenrajasinghe@gmail.com</t>
        </is>
      </c>
    </row>
    <row r="25">
      <c r="A25" s="112" t="inlineStr">
        <is>
          <t>Samarasinghe M.H.D</t>
        </is>
      </c>
      <c r="B25" s="112" t="n"/>
      <c r="C25" s="112" t="inlineStr">
        <is>
          <t>200433704392</t>
        </is>
      </c>
      <c r="D25" s="112" t="inlineStr">
        <is>
          <t>0740502524</t>
        </is>
      </c>
      <c r="E25" s="112" t="inlineStr">
        <is>
          <t>heshplus163@gmail.com</t>
        </is>
      </c>
    </row>
    <row r="26">
      <c r="A26" s="112" t="inlineStr">
        <is>
          <t>Imeth Liyanaarchchi</t>
        </is>
      </c>
      <c r="B26" s="112" t="n"/>
      <c r="C26" s="112" t="inlineStr">
        <is>
          <t>200234600918</t>
        </is>
      </c>
      <c r="D26" s="112" t="inlineStr">
        <is>
          <t>0705778826</t>
        </is>
      </c>
      <c r="E26" s="112" t="inlineStr">
        <is>
          <t>imetheeshan@gmail.com</t>
        </is>
      </c>
    </row>
    <row r="27">
      <c r="A27" s="112" t="inlineStr">
        <is>
          <t>Pavan Pamod</t>
        </is>
      </c>
      <c r="B27" s="112" t="n"/>
      <c r="C27" s="112" t="inlineStr">
        <is>
          <t>200433100262</t>
        </is>
      </c>
      <c r="D27" s="112" t="inlineStr">
        <is>
          <t>0713358343</t>
        </is>
      </c>
      <c r="E27" s="112" t="inlineStr">
        <is>
          <t>pavan4gunadasa@gmail.com</t>
        </is>
      </c>
    </row>
    <row r="28">
      <c r="A28" s="112" t="inlineStr">
        <is>
          <t>Shanaka Kalubowilage</t>
        </is>
      </c>
      <c r="B28" s="112" t="n"/>
      <c r="C28" s="112" t="inlineStr">
        <is>
          <t>200215501576</t>
        </is>
      </c>
      <c r="D28" s="112" t="inlineStr">
        <is>
          <t>0763837189</t>
        </is>
      </c>
      <c r="E28" s="112" t="inlineStr">
        <is>
          <t>sskalubowilage@gmail.com</t>
        </is>
      </c>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7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2026-10-20T07:43:01Z</dcterms:created>
  <dcterms:modified xsi:type="dcterms:W3CDTF">2026-10-20T07:54:33Z</dcterms:modified>
</cp:coreProperties>
</file>